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ako\Desktop\"/>
    </mc:Choice>
  </mc:AlternateContent>
  <xr:revisionPtr revIDLastSave="0" documentId="8_{3A8693F2-182B-4106-9B68-82D31416422F}" xr6:coauthVersionLast="46" xr6:coauthVersionMax="46" xr10:uidLastSave="{00000000-0000-0000-0000-000000000000}"/>
  <bookViews>
    <workbookView xWindow="-120" yWindow="-120" windowWidth="20730" windowHeight="11310" tabRatio="772" xr2:uid="{00000000-000D-0000-FFFF-FFFF00000000}"/>
  </bookViews>
  <sheets>
    <sheet name="Product Catalogue" sheetId="154" r:id="rId1"/>
    <sheet name="Tables" sheetId="158" r:id="rId2"/>
    <sheet name="Search Result" sheetId="156" r:id="rId3"/>
    <sheet name="Menu Costing" sheetId="159" r:id="rId4"/>
  </sheets>
  <definedNames>
    <definedName name="_xlnm._FilterDatabase" localSheetId="0" hidden="1">'Product Catalogue'!$A$1:$H$20</definedName>
    <definedName name="CATEGORY">Tables!$B$2:$B$9</definedName>
    <definedName name="ProductSearch">OFFSET('Search Result'!$A$1,0,0,COUNTA('Search Result'!$A$1:$A$500))</definedName>
    <definedName name="SUPPLIER">Tables!$C$2:$C$28</definedName>
    <definedName name="UNIT">Tables!$A$2:$A$32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54" l="1"/>
  <c r="H2" i="154"/>
  <c r="H3" i="154"/>
  <c r="H4" i="154"/>
  <c r="H5" i="154"/>
  <c r="H12" i="154"/>
  <c r="H13" i="154"/>
  <c r="H14" i="154"/>
  <c r="H15" i="154"/>
  <c r="H16" i="154"/>
  <c r="H17" i="154"/>
  <c r="H18" i="154"/>
  <c r="H19" i="154"/>
  <c r="K5" i="159"/>
  <c r="L5" i="159" s="1"/>
  <c r="J5" i="159"/>
  <c r="K6" i="159"/>
  <c r="L6" i="159" s="1"/>
  <c r="J6" i="159"/>
  <c r="I20" i="154"/>
  <c r="I19" i="154"/>
  <c r="I18" i="154"/>
  <c r="I17" i="154"/>
  <c r="I16" i="154"/>
  <c r="I15" i="154"/>
  <c r="I14" i="154"/>
  <c r="I13" i="154"/>
  <c r="I12" i="154"/>
  <c r="I11" i="154"/>
  <c r="I10" i="154"/>
  <c r="I9" i="154"/>
  <c r="I8" i="154"/>
  <c r="I7" i="154"/>
  <c r="I5" i="154"/>
  <c r="I4" i="154"/>
  <c r="I3" i="154"/>
  <c r="I2" i="154"/>
  <c r="K7" i="159" l="1"/>
  <c r="L7" i="159" s="1"/>
  <c r="J7" i="159"/>
  <c r="K23" i="159"/>
  <c r="L23" i="159" s="1"/>
  <c r="J23" i="159"/>
  <c r="K22" i="159"/>
  <c r="L22" i="159" s="1"/>
  <c r="J22" i="159"/>
  <c r="K21" i="159"/>
  <c r="L21" i="159" s="1"/>
  <c r="J21" i="159"/>
  <c r="K20" i="159"/>
  <c r="L20" i="159" s="1"/>
  <c r="J20" i="159"/>
  <c r="K19" i="159"/>
  <c r="L19" i="159" s="1"/>
  <c r="J19" i="159"/>
  <c r="K18" i="159"/>
  <c r="L18" i="159" s="1"/>
  <c r="J18" i="159"/>
  <c r="K17" i="159"/>
  <c r="L17" i="159" s="1"/>
  <c r="J17" i="159"/>
  <c r="K16" i="159"/>
  <c r="L16" i="159" s="1"/>
  <c r="J16" i="159"/>
  <c r="K15" i="159"/>
  <c r="L15" i="159" s="1"/>
  <c r="J15" i="159"/>
  <c r="K14" i="159"/>
  <c r="L14" i="159" s="1"/>
  <c r="J14" i="159"/>
  <c r="K13" i="159"/>
  <c r="L13" i="159" s="1"/>
  <c r="J13" i="159"/>
  <c r="K12" i="159"/>
  <c r="L12" i="159" s="1"/>
  <c r="J12" i="159"/>
  <c r="K11" i="159"/>
  <c r="L11" i="159" s="1"/>
  <c r="J11" i="159"/>
  <c r="K10" i="159"/>
  <c r="L10" i="159" s="1"/>
  <c r="J10" i="159"/>
  <c r="K9" i="159"/>
  <c r="L9" i="159" s="1"/>
  <c r="J9" i="159"/>
  <c r="K8" i="159"/>
  <c r="L8" i="159" s="1"/>
  <c r="J8" i="159"/>
  <c r="H1" i="159" l="1"/>
  <c r="D15" i="159"/>
  <c r="E15" i="159"/>
  <c r="F15" i="159" s="1"/>
  <c r="D16" i="159"/>
  <c r="E16" i="159"/>
  <c r="F16" i="159" s="1"/>
  <c r="D17" i="159"/>
  <c r="E17" i="159"/>
  <c r="F17" i="159" s="1"/>
  <c r="D18" i="159"/>
  <c r="E18" i="159"/>
  <c r="F18" i="159" s="1"/>
  <c r="D19" i="159"/>
  <c r="E19" i="159"/>
  <c r="F19" i="159" s="1"/>
  <c r="D20" i="159"/>
  <c r="E20" i="159"/>
  <c r="F20" i="159" s="1"/>
  <c r="D21" i="159"/>
  <c r="E21" i="159"/>
  <c r="F21" i="159" s="1"/>
  <c r="D22" i="159"/>
  <c r="E22" i="159"/>
  <c r="F22" i="159" s="1"/>
  <c r="D23" i="159"/>
  <c r="E23" i="159"/>
  <c r="F23" i="159" s="1"/>
  <c r="D24" i="159"/>
  <c r="E24" i="159"/>
  <c r="F24" i="159" s="1"/>
  <c r="D25" i="159"/>
  <c r="E25" i="159"/>
  <c r="F25" i="159" s="1"/>
  <c r="D26" i="159"/>
  <c r="E26" i="159"/>
  <c r="F26" i="159" s="1"/>
  <c r="D27" i="159"/>
  <c r="E27" i="159"/>
  <c r="F27" i="159" s="1"/>
  <c r="D28" i="159"/>
  <c r="E28" i="159"/>
  <c r="F28" i="159" s="1"/>
  <c r="D29" i="159"/>
  <c r="E29" i="159"/>
  <c r="F29" i="159" s="1"/>
  <c r="D30" i="159"/>
  <c r="E30" i="159"/>
  <c r="F30" i="159" s="1"/>
  <c r="D31" i="159"/>
  <c r="E31" i="159"/>
  <c r="F31" i="159" s="1"/>
  <c r="D32" i="159"/>
  <c r="E32" i="159"/>
  <c r="F32" i="159" s="1"/>
  <c r="D33" i="159"/>
  <c r="E33" i="159"/>
  <c r="F33" i="159" s="1"/>
  <c r="D34" i="159"/>
  <c r="E34" i="159"/>
  <c r="F34" i="159" s="1"/>
  <c r="D35" i="159"/>
  <c r="E35" i="159"/>
  <c r="F35" i="159" s="1"/>
  <c r="D36" i="159"/>
  <c r="E36" i="159"/>
  <c r="F36" i="159" s="1"/>
  <c r="D37" i="159"/>
  <c r="E37" i="159"/>
  <c r="F37" i="159" s="1"/>
  <c r="D38" i="159"/>
  <c r="E38" i="159"/>
  <c r="F38" i="159" s="1"/>
  <c r="D39" i="159"/>
  <c r="E39" i="159"/>
  <c r="F39" i="159" s="1"/>
  <c r="D40" i="159"/>
  <c r="E40" i="159"/>
  <c r="F40" i="159" s="1"/>
  <c r="D41" i="159"/>
  <c r="E41" i="159"/>
  <c r="F41" i="159" s="1"/>
  <c r="D42" i="159"/>
  <c r="E42" i="159"/>
  <c r="F42" i="159" s="1"/>
  <c r="D43" i="159"/>
  <c r="E43" i="159"/>
  <c r="F43" i="159" s="1"/>
  <c r="D44" i="159"/>
  <c r="E44" i="159"/>
  <c r="F44" i="159" s="1"/>
  <c r="J4" i="159" l="1"/>
  <c r="E8" i="159" l="1"/>
  <c r="F8" i="159" s="1"/>
  <c r="D8" i="159"/>
  <c r="E14" i="159"/>
  <c r="F14" i="159" s="1"/>
  <c r="D14" i="159"/>
  <c r="E13" i="159"/>
  <c r="F13" i="159" s="1"/>
  <c r="D13" i="159"/>
  <c r="E12" i="159"/>
  <c r="F12" i="159" s="1"/>
  <c r="D12" i="159"/>
  <c r="E11" i="159"/>
  <c r="F11" i="159" s="1"/>
  <c r="D11" i="159"/>
  <c r="E10" i="159"/>
  <c r="F10" i="159" s="1"/>
  <c r="D10" i="159"/>
  <c r="E9" i="159"/>
  <c r="F9" i="159" s="1"/>
  <c r="D9" i="159"/>
  <c r="A48" i="156" l="1"/>
  <c r="A2" i="156"/>
  <c r="A86" i="156"/>
  <c r="A82" i="156"/>
  <c r="A78" i="156"/>
  <c r="A74" i="156"/>
  <c r="A70" i="156"/>
  <c r="A66" i="156"/>
  <c r="A62" i="156"/>
  <c r="A58" i="156"/>
  <c r="A54" i="156"/>
  <c r="A4" i="156"/>
  <c r="A8" i="156"/>
  <c r="A12" i="156"/>
  <c r="A16" i="156"/>
  <c r="A20" i="156"/>
  <c r="A24" i="156"/>
  <c r="A28" i="156"/>
  <c r="A32" i="156"/>
  <c r="A36" i="156"/>
  <c r="A40" i="156"/>
  <c r="A188" i="156"/>
  <c r="A44" i="156"/>
  <c r="A90" i="156"/>
  <c r="A94" i="156"/>
  <c r="A98" i="156"/>
  <c r="A102" i="156"/>
  <c r="A106" i="156"/>
  <c r="A110" i="156"/>
  <c r="A114" i="156"/>
  <c r="A118" i="156"/>
  <c r="A122" i="156"/>
  <c r="A126" i="156"/>
  <c r="A130" i="156"/>
  <c r="A134" i="156"/>
  <c r="A138" i="156"/>
  <c r="A142" i="156"/>
  <c r="A146" i="156"/>
  <c r="A150" i="156"/>
  <c r="A154" i="156"/>
  <c r="A158" i="156"/>
  <c r="A164" i="156"/>
  <c r="A172" i="156"/>
  <c r="A180" i="156"/>
  <c r="A500" i="156"/>
  <c r="A496" i="156"/>
  <c r="A492" i="156"/>
  <c r="A488" i="156"/>
  <c r="A484" i="156"/>
  <c r="A480" i="156"/>
  <c r="A476" i="156"/>
  <c r="A472" i="156"/>
  <c r="A468" i="156"/>
  <c r="A464" i="156"/>
  <c r="A460" i="156"/>
  <c r="A456" i="156"/>
  <c r="A452" i="156"/>
  <c r="A448" i="156"/>
  <c r="A444" i="156"/>
  <c r="A440" i="156"/>
  <c r="A436" i="156"/>
  <c r="A432" i="156"/>
  <c r="A428" i="156"/>
  <c r="A424" i="156"/>
  <c r="A420" i="156"/>
  <c r="A416" i="156"/>
  <c r="A412" i="156"/>
  <c r="A408" i="156"/>
  <c r="A404" i="156"/>
  <c r="A400" i="156"/>
  <c r="A396" i="156"/>
  <c r="A392" i="156"/>
  <c r="A388" i="156"/>
  <c r="A384" i="156"/>
  <c r="A380" i="156"/>
  <c r="A376" i="156"/>
  <c r="A372" i="156"/>
  <c r="A368" i="156"/>
  <c r="A364" i="156"/>
  <c r="A360" i="156"/>
  <c r="A356" i="156"/>
  <c r="A352" i="156"/>
  <c r="A348" i="156"/>
  <c r="A344" i="156"/>
  <c r="A340" i="156"/>
  <c r="A336" i="156"/>
  <c r="A332" i="156"/>
  <c r="A328" i="156"/>
  <c r="A324" i="156"/>
  <c r="A320" i="156"/>
  <c r="A316" i="156"/>
  <c r="A312" i="156"/>
  <c r="A308" i="156"/>
  <c r="A304" i="156"/>
  <c r="A300" i="156"/>
  <c r="A296" i="156"/>
  <c r="A292" i="156"/>
  <c r="A288" i="156"/>
  <c r="A284" i="156"/>
  <c r="A280" i="156"/>
  <c r="A276" i="156"/>
  <c r="A272" i="156"/>
  <c r="A268" i="156"/>
  <c r="A264" i="156"/>
  <c r="A260" i="156"/>
  <c r="A256" i="156"/>
  <c r="A252" i="156"/>
  <c r="A248" i="156"/>
  <c r="A244" i="156"/>
  <c r="A240" i="156"/>
  <c r="A236" i="156"/>
  <c r="A232" i="156"/>
  <c r="A228" i="156"/>
  <c r="A224" i="156"/>
  <c r="A220" i="156"/>
  <c r="A216" i="156"/>
  <c r="A212" i="156"/>
  <c r="A208" i="156"/>
  <c r="A204" i="156"/>
  <c r="A200" i="156"/>
  <c r="A499" i="156"/>
  <c r="A495" i="156"/>
  <c r="A491" i="156"/>
  <c r="A487" i="156"/>
  <c r="A483" i="156"/>
  <c r="A479" i="156"/>
  <c r="A475" i="156"/>
  <c r="A471" i="156"/>
  <c r="A467" i="156"/>
  <c r="A463" i="156"/>
  <c r="A459" i="156"/>
  <c r="A455" i="156"/>
  <c r="A451" i="156"/>
  <c r="A447" i="156"/>
  <c r="A443" i="156"/>
  <c r="A439" i="156"/>
  <c r="A435" i="156"/>
  <c r="A431" i="156"/>
  <c r="A427" i="156"/>
  <c r="A423" i="156"/>
  <c r="A419" i="156"/>
  <c r="A415" i="156"/>
  <c r="A411" i="156"/>
  <c r="A407" i="156"/>
  <c r="A403" i="156"/>
  <c r="A399" i="156"/>
  <c r="A395" i="156"/>
  <c r="A391" i="156"/>
  <c r="A387" i="156"/>
  <c r="A383" i="156"/>
  <c r="A379" i="156"/>
  <c r="A375" i="156"/>
  <c r="A371" i="156"/>
  <c r="A367" i="156"/>
  <c r="A363" i="156"/>
  <c r="A359" i="156"/>
  <c r="A355" i="156"/>
  <c r="A351" i="156"/>
  <c r="A347" i="156"/>
  <c r="A343" i="156"/>
  <c r="A339" i="156"/>
  <c r="A335" i="156"/>
  <c r="A331" i="156"/>
  <c r="A327" i="156"/>
  <c r="A323" i="156"/>
  <c r="A319" i="156"/>
  <c r="A315" i="156"/>
  <c r="A311" i="156"/>
  <c r="A307" i="156"/>
  <c r="A303" i="156"/>
  <c r="A299" i="156"/>
  <c r="A295" i="156"/>
  <c r="A291" i="156"/>
  <c r="A287" i="156"/>
  <c r="A283" i="156"/>
  <c r="A279" i="156"/>
  <c r="A275" i="156"/>
  <c r="A271" i="156"/>
  <c r="A267" i="156"/>
  <c r="A263" i="156"/>
  <c r="A259" i="156"/>
  <c r="A255" i="156"/>
  <c r="A251" i="156"/>
  <c r="A247" i="156"/>
  <c r="A243" i="156"/>
  <c r="A239" i="156"/>
  <c r="A235" i="156"/>
  <c r="A231" i="156"/>
  <c r="A227" i="156"/>
  <c r="A223" i="156"/>
  <c r="A219" i="156"/>
  <c r="A215" i="156"/>
  <c r="A211" i="156"/>
  <c r="A207" i="156"/>
  <c r="A203" i="156"/>
  <c r="A199" i="156"/>
  <c r="A195" i="156"/>
  <c r="A498" i="156"/>
  <c r="A494" i="156"/>
  <c r="A490" i="156"/>
  <c r="A486" i="156"/>
  <c r="A482" i="156"/>
  <c r="A478" i="156"/>
  <c r="A474" i="156"/>
  <c r="A470" i="156"/>
  <c r="A466" i="156"/>
  <c r="A462" i="156"/>
  <c r="A458" i="156"/>
  <c r="A454" i="156"/>
  <c r="A450" i="156"/>
  <c r="A446" i="156"/>
  <c r="A442" i="156"/>
  <c r="A438" i="156"/>
  <c r="A434" i="156"/>
  <c r="A430" i="156"/>
  <c r="A426" i="156"/>
  <c r="A422" i="156"/>
  <c r="A418" i="156"/>
  <c r="A414" i="156"/>
  <c r="A410" i="156"/>
  <c r="A406" i="156"/>
  <c r="A402" i="156"/>
  <c r="A398" i="156"/>
  <c r="A394" i="156"/>
  <c r="A390" i="156"/>
  <c r="A386" i="156"/>
  <c r="A382" i="156"/>
  <c r="A378" i="156"/>
  <c r="A374" i="156"/>
  <c r="A370" i="156"/>
  <c r="A366" i="156"/>
  <c r="A362" i="156"/>
  <c r="A358" i="156"/>
  <c r="A354" i="156"/>
  <c r="A350" i="156"/>
  <c r="A346" i="156"/>
  <c r="A342" i="156"/>
  <c r="A338" i="156"/>
  <c r="A334" i="156"/>
  <c r="A330" i="156"/>
  <c r="A326" i="156"/>
  <c r="A322" i="156"/>
  <c r="A318" i="156"/>
  <c r="A314" i="156"/>
  <c r="A310" i="156"/>
  <c r="A306" i="156"/>
  <c r="A302" i="156"/>
  <c r="A298" i="156"/>
  <c r="A294" i="156"/>
  <c r="A290" i="156"/>
  <c r="A286" i="156"/>
  <c r="A282" i="156"/>
  <c r="A278" i="156"/>
  <c r="A274" i="156"/>
  <c r="A270" i="156"/>
  <c r="A266" i="156"/>
  <c r="A262" i="156"/>
  <c r="A258" i="156"/>
  <c r="A254" i="156"/>
  <c r="A250" i="156"/>
  <c r="A246" i="156"/>
  <c r="A242" i="156"/>
  <c r="A238" i="156"/>
  <c r="A234" i="156"/>
  <c r="A230" i="156"/>
  <c r="A226" i="156"/>
  <c r="A222" i="156"/>
  <c r="A218" i="156"/>
  <c r="A214" i="156"/>
  <c r="A210" i="156"/>
  <c r="A206" i="156"/>
  <c r="A202" i="156"/>
  <c r="A198" i="156"/>
  <c r="A194" i="156"/>
  <c r="A190" i="156"/>
  <c r="A186" i="156"/>
  <c r="A182" i="156"/>
  <c r="A178" i="156"/>
  <c r="A174" i="156"/>
  <c r="A170" i="156"/>
  <c r="A166" i="156"/>
  <c r="A162" i="156"/>
  <c r="A497" i="156"/>
  <c r="A493" i="156"/>
  <c r="A489" i="156"/>
  <c r="A485" i="156"/>
  <c r="A481" i="156"/>
  <c r="A477" i="156"/>
  <c r="A473" i="156"/>
  <c r="A469" i="156"/>
  <c r="A465" i="156"/>
  <c r="A461" i="156"/>
  <c r="A457" i="156"/>
  <c r="A453" i="156"/>
  <c r="A449" i="156"/>
  <c r="A445" i="156"/>
  <c r="A441" i="156"/>
  <c r="A437" i="156"/>
  <c r="A433" i="156"/>
  <c r="A429" i="156"/>
  <c r="A425" i="156"/>
  <c r="A421" i="156"/>
  <c r="A417" i="156"/>
  <c r="A413" i="156"/>
  <c r="A409" i="156"/>
  <c r="A405" i="156"/>
  <c r="A401" i="156"/>
  <c r="A397" i="156"/>
  <c r="A393" i="156"/>
  <c r="A389" i="156"/>
  <c r="A385" i="156"/>
  <c r="A381" i="156"/>
  <c r="A377" i="156"/>
  <c r="A373" i="156"/>
  <c r="A369" i="156"/>
  <c r="A365" i="156"/>
  <c r="A361" i="156"/>
  <c r="A357" i="156"/>
  <c r="A353" i="156"/>
  <c r="A349" i="156"/>
  <c r="A345" i="156"/>
  <c r="A341" i="156"/>
  <c r="A337" i="156"/>
  <c r="A333" i="156"/>
  <c r="A329" i="156"/>
  <c r="A325" i="156"/>
  <c r="A321" i="156"/>
  <c r="A317" i="156"/>
  <c r="A313" i="156"/>
  <c r="A309" i="156"/>
  <c r="A305" i="156"/>
  <c r="A301" i="156"/>
  <c r="A297" i="156"/>
  <c r="A293" i="156"/>
  <c r="A289" i="156"/>
  <c r="A285" i="156"/>
  <c r="A281" i="156"/>
  <c r="A277" i="156"/>
  <c r="A273" i="156"/>
  <c r="A269" i="156"/>
  <c r="A265" i="156"/>
  <c r="A261" i="156"/>
  <c r="A257" i="156"/>
  <c r="A253" i="156"/>
  <c r="A249" i="156"/>
  <c r="A245" i="156"/>
  <c r="A241" i="156"/>
  <c r="A237" i="156"/>
  <c r="A233" i="156"/>
  <c r="A229" i="156"/>
  <c r="A225" i="156"/>
  <c r="A221" i="156"/>
  <c r="A217" i="156"/>
  <c r="A213" i="156"/>
  <c r="A209" i="156"/>
  <c r="A205" i="156"/>
  <c r="A201" i="156"/>
  <c r="A197" i="156"/>
  <c r="A193" i="156"/>
  <c r="A189" i="156"/>
  <c r="A185" i="156"/>
  <c r="A181" i="156"/>
  <c r="A177" i="156"/>
  <c r="A173" i="156"/>
  <c r="A169" i="156"/>
  <c r="A165" i="156"/>
  <c r="A161" i="156"/>
  <c r="A51" i="156"/>
  <c r="A47" i="156"/>
  <c r="A43" i="156"/>
  <c r="A39" i="156"/>
  <c r="A35" i="156"/>
  <c r="A31" i="156"/>
  <c r="A27" i="156"/>
  <c r="A23" i="156"/>
  <c r="A19" i="156"/>
  <c r="A15" i="156"/>
  <c r="A11" i="156"/>
  <c r="A7" i="156"/>
  <c r="A3" i="156"/>
  <c r="A55" i="156"/>
  <c r="A59" i="156"/>
  <c r="A63" i="156"/>
  <c r="A67" i="156"/>
  <c r="A71" i="156"/>
  <c r="A75" i="156"/>
  <c r="A79" i="156"/>
  <c r="A83" i="156"/>
  <c r="A87" i="156"/>
  <c r="A91" i="156"/>
  <c r="A95" i="156"/>
  <c r="A99" i="156"/>
  <c r="A103" i="156"/>
  <c r="A107" i="156"/>
  <c r="A111" i="156"/>
  <c r="A115" i="156"/>
  <c r="A119" i="156"/>
  <c r="A123" i="156"/>
  <c r="A127" i="156"/>
  <c r="A131" i="156"/>
  <c r="A135" i="156"/>
  <c r="A139" i="156"/>
  <c r="A143" i="156"/>
  <c r="A147" i="156"/>
  <c r="A151" i="156"/>
  <c r="A155" i="156"/>
  <c r="A159" i="156"/>
  <c r="A167" i="156"/>
  <c r="A175" i="156"/>
  <c r="A183" i="156"/>
  <c r="A191" i="156"/>
  <c r="A50" i="156"/>
  <c r="A46" i="156"/>
  <c r="A42" i="156"/>
  <c r="A38" i="156"/>
  <c r="A34" i="156"/>
  <c r="A30" i="156"/>
  <c r="A26" i="156"/>
  <c r="A22" i="156"/>
  <c r="A18" i="156"/>
  <c r="A14" i="156"/>
  <c r="A10" i="156"/>
  <c r="A6" i="156"/>
  <c r="A52" i="156"/>
  <c r="A56" i="156"/>
  <c r="A60" i="156"/>
  <c r="A64" i="156"/>
  <c r="A68" i="156"/>
  <c r="A72" i="156"/>
  <c r="A76" i="156"/>
  <c r="A80" i="156"/>
  <c r="A84" i="156"/>
  <c r="A88" i="156"/>
  <c r="A92" i="156"/>
  <c r="A96" i="156"/>
  <c r="A100" i="156"/>
  <c r="A104" i="156"/>
  <c r="A108" i="156"/>
  <c r="A112" i="156"/>
  <c r="A116" i="156"/>
  <c r="A120" i="156"/>
  <c r="A124" i="156"/>
  <c r="A128" i="156"/>
  <c r="A132" i="156"/>
  <c r="A136" i="156"/>
  <c r="A140" i="156"/>
  <c r="A144" i="156"/>
  <c r="A148" i="156"/>
  <c r="A152" i="156"/>
  <c r="A156" i="156"/>
  <c r="A160" i="156"/>
  <c r="A168" i="156"/>
  <c r="A176" i="156"/>
  <c r="A184" i="156"/>
  <c r="A192" i="156"/>
  <c r="A49" i="156"/>
  <c r="A45" i="156"/>
  <c r="A41" i="156"/>
  <c r="A37" i="156"/>
  <c r="A33" i="156"/>
  <c r="A29" i="156"/>
  <c r="A25" i="156"/>
  <c r="A21" i="156"/>
  <c r="A17" i="156"/>
  <c r="A13" i="156"/>
  <c r="A9" i="156"/>
  <c r="A5" i="156"/>
  <c r="A53" i="156"/>
  <c r="A57" i="156"/>
  <c r="A61" i="156"/>
  <c r="A65" i="156"/>
  <c r="A69" i="156"/>
  <c r="A73" i="156"/>
  <c r="A77" i="156"/>
  <c r="A81" i="156"/>
  <c r="A85" i="156"/>
  <c r="A89" i="156"/>
  <c r="A93" i="156"/>
  <c r="A97" i="156"/>
  <c r="A101" i="156"/>
  <c r="A105" i="156"/>
  <c r="A109" i="156"/>
  <c r="A113" i="156"/>
  <c r="A117" i="156"/>
  <c r="A121" i="156"/>
  <c r="A125" i="156"/>
  <c r="A129" i="156"/>
  <c r="A133" i="156"/>
  <c r="A137" i="156"/>
  <c r="A141" i="156"/>
  <c r="A145" i="156"/>
  <c r="A149" i="156"/>
  <c r="A153" i="156"/>
  <c r="A157" i="156"/>
  <c r="A163" i="156"/>
  <c r="A171" i="156"/>
  <c r="A179" i="156"/>
  <c r="A187" i="156"/>
  <c r="A196" i="156"/>
  <c r="K4" i="159" l="1"/>
  <c r="L4" i="159" s="1"/>
  <c r="B10" i="159" l="1"/>
  <c r="B8" i="159" l="1"/>
  <c r="C13" i="159" s="1"/>
</calcChain>
</file>

<file path=xl/sharedStrings.xml><?xml version="1.0" encoding="utf-8"?>
<sst xmlns="http://schemas.openxmlformats.org/spreadsheetml/2006/main" count="173" uniqueCount="92">
  <si>
    <t>Ingredients</t>
  </si>
  <si>
    <t>Unit Cost</t>
  </si>
  <si>
    <t>Actual Cost</t>
  </si>
  <si>
    <t>PRODUCT</t>
  </si>
  <si>
    <t>SUPPLIER</t>
  </si>
  <si>
    <t>UNIT</t>
  </si>
  <si>
    <t>CASE SIZE</t>
  </si>
  <si>
    <t>pc</t>
  </si>
  <si>
    <t>cs</t>
  </si>
  <si>
    <t>DAIRY</t>
  </si>
  <si>
    <t>PRODUCE</t>
  </si>
  <si>
    <t>lb</t>
  </si>
  <si>
    <t>bunch</t>
  </si>
  <si>
    <t>L</t>
  </si>
  <si>
    <t>g</t>
  </si>
  <si>
    <t>kg</t>
  </si>
  <si>
    <t>btl</t>
  </si>
  <si>
    <t>can</t>
  </si>
  <si>
    <t>bag</t>
  </si>
  <si>
    <t>pail</t>
  </si>
  <si>
    <t>jib</t>
  </si>
  <si>
    <t>jug</t>
  </si>
  <si>
    <t>jar</t>
  </si>
  <si>
    <t>box</t>
  </si>
  <si>
    <t>DRY/CANNED/JARRED</t>
  </si>
  <si>
    <t>tub</t>
  </si>
  <si>
    <t>carton</t>
  </si>
  <si>
    <t>brick</t>
  </si>
  <si>
    <t>head</t>
  </si>
  <si>
    <t>FROZEN/BREAD</t>
  </si>
  <si>
    <t>Herb - Cilantro</t>
  </si>
  <si>
    <t>UNIT PRICE</t>
  </si>
  <si>
    <t>Salt Kosher 3lb</t>
  </si>
  <si>
    <t>Salt Flaked Organic 1.5kg</t>
  </si>
  <si>
    <t>block</t>
  </si>
  <si>
    <t>pack</t>
  </si>
  <si>
    <t>roll</t>
  </si>
  <si>
    <t>Butter Natrel Sweet 1lb</t>
  </si>
  <si>
    <t>Cheese Goat Woolwich 2 x 1kg</t>
  </si>
  <si>
    <t>tray</t>
  </si>
  <si>
    <t>Herb - Basil Picked Bunched</t>
  </si>
  <si>
    <t>Herb - Parsley Flat</t>
  </si>
  <si>
    <t>Herb - Dill</t>
  </si>
  <si>
    <t>Herb - Rosemary</t>
  </si>
  <si>
    <t>pkg</t>
  </si>
  <si>
    <t>Herb - Chives</t>
  </si>
  <si>
    <t>stock</t>
  </si>
  <si>
    <t>Onion Cippolini Peeled 5lb</t>
  </si>
  <si>
    <t>Cassava</t>
  </si>
  <si>
    <t>Pineapple Golden</t>
  </si>
  <si>
    <t>pint</t>
  </si>
  <si>
    <t>clam</t>
  </si>
  <si>
    <t>Mixed Greens PKG 5oz</t>
  </si>
  <si>
    <t xml:space="preserve">Beans Green Loose 25lb </t>
  </si>
  <si>
    <t>bskt</t>
  </si>
  <si>
    <t>Mushrooms Honey 6 pkg x 150g</t>
  </si>
  <si>
    <t>Beef Short Ribs Bone In 4 bones avg 3 -4 lb (3 pc/pkg)</t>
  </si>
  <si>
    <t>bndl</t>
  </si>
  <si>
    <t>Pork Chop Nagano 12oz</t>
  </si>
  <si>
    <t>DISPOSABLES</t>
  </si>
  <si>
    <t>sleeve</t>
  </si>
  <si>
    <t>UNIT COST</t>
  </si>
  <si>
    <t>Macro</t>
  </si>
  <si>
    <t>Category</t>
  </si>
  <si>
    <t>MEATS</t>
  </si>
  <si>
    <t>CHEMICALS/CLENING</t>
  </si>
  <si>
    <t>CATEGORY</t>
  </si>
  <si>
    <t>Menu Name</t>
  </si>
  <si>
    <t>Quantity</t>
  </si>
  <si>
    <t>Measuring Unit</t>
  </si>
  <si>
    <t>Yield</t>
  </si>
  <si>
    <t>Unit</t>
  </si>
  <si>
    <t>Batch Cost</t>
  </si>
  <si>
    <t>Cost per Unit</t>
  </si>
  <si>
    <t>Portion Calculator</t>
  </si>
  <si>
    <t>Cost per Portion</t>
  </si>
  <si>
    <t>Select Unit →</t>
  </si>
  <si>
    <t>Select Category →</t>
  </si>
  <si>
    <t>Select SUPPLIER →</t>
  </si>
  <si>
    <t>Serving Size</t>
  </si>
  <si>
    <t>Item Search</t>
  </si>
  <si>
    <t>&gt;&gt;&gt;&gt;&gt;&gt;</t>
  </si>
  <si>
    <t>A</t>
  </si>
  <si>
    <t>B</t>
  </si>
  <si>
    <t>C</t>
  </si>
  <si>
    <t>D</t>
  </si>
  <si>
    <t>E</t>
  </si>
  <si>
    <t>F</t>
  </si>
  <si>
    <t>G</t>
  </si>
  <si>
    <t>H</t>
  </si>
  <si>
    <t>MEASURING UNIT</t>
  </si>
  <si>
    <t>salt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</si>
</sst>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color theme="3"/>
      <name val="Arial"/>
      <family val="2"/>
    </font>
    <font>
      <sz val="10"/>
      <color rgb="FF006100"/>
      <name val="Arial"/>
      <family val="2"/>
    </font>
    <font>
      <sz val="10"/>
      <color theme="0"/>
      <name val="Arial"/>
      <family val="2"/>
    </font>
    <font>
      <b/>
      <sz val="13"/>
      <color theme="0"/>
      <name val="Agency FB"/>
      <family val="2"/>
    </font>
    <font>
      <b/>
      <sz val="10"/>
      <color theme="1"/>
      <name val="Calibri"/>
      <family val="2"/>
      <scheme val="minor"/>
    </font>
    <font>
      <b/>
      <sz val="14"/>
      <color theme="0"/>
      <name val="Agency FB"/>
      <family val="2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gradientFill degree="135">
        <stop position="0">
          <color theme="0"/>
        </stop>
        <stop position="1">
          <color theme="4"/>
        </stop>
      </gradientFill>
    </fill>
    <fill>
      <patternFill patternType="lightGrid">
        <fgColor auto="1"/>
        <bgColor theme="9"/>
      </patternFill>
    </fill>
    <fill>
      <gradientFill>
        <stop position="0">
          <color theme="0"/>
        </stop>
        <stop position="1">
          <color rgb="FFFCBADB"/>
        </stop>
      </gradientFill>
    </fill>
    <fill>
      <gradientFill>
        <stop position="0">
          <color theme="0"/>
        </stop>
        <stop position="1">
          <color theme="5" tint="-0.25098422193060094"/>
        </stop>
      </gradientFill>
    </fill>
    <fill>
      <patternFill patternType="gray0625"/>
    </fill>
    <fill>
      <gradientFill>
        <stop position="0">
          <color theme="4" tint="0.80001220740379042"/>
        </stop>
        <stop position="1">
          <color rgb="FFCC00CC"/>
        </stop>
      </gradient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/>
      <right style="medium">
        <color indexed="64"/>
      </right>
      <top/>
      <bottom style="thick">
        <color theme="4" tint="0.499984740745262"/>
      </bottom>
      <diagonal/>
    </border>
  </borders>
  <cellStyleXfs count="14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0" fontId="7" fillId="0" borderId="14" applyNumberFormat="0" applyFill="0" applyAlignment="0" applyProtection="0"/>
    <xf numFmtId="0" fontId="1" fillId="4" borderId="0" applyNumberFormat="0" applyBorder="0" applyAlignment="0" applyProtection="0"/>
    <xf numFmtId="0" fontId="9" fillId="6" borderId="9">
      <alignment horizontal="center"/>
    </xf>
    <xf numFmtId="0" fontId="8" fillId="7" borderId="9">
      <alignment horizontal="center"/>
    </xf>
    <xf numFmtId="0" fontId="8" fillId="0" borderId="9">
      <alignment horizontal="center"/>
    </xf>
    <xf numFmtId="164" fontId="2" fillId="8" borderId="0"/>
    <xf numFmtId="164" fontId="2" fillId="8" borderId="0"/>
    <xf numFmtId="164" fontId="2" fillId="8" borderId="0"/>
    <xf numFmtId="0" fontId="2" fillId="9" borderId="0">
      <protection locked="0"/>
    </xf>
    <xf numFmtId="0" fontId="2" fillId="10" borderId="0" applyFont="0" applyBorder="0" applyAlignment="0" applyProtection="0">
      <protection locked="0"/>
    </xf>
    <xf numFmtId="0" fontId="1" fillId="11" borderId="0">
      <protection locked="0"/>
    </xf>
  </cellStyleXfs>
  <cellXfs count="51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>
      <protection locked="0"/>
    </xf>
    <xf numFmtId="0" fontId="0" fillId="0" borderId="0" xfId="0" applyNumberFormat="1" applyProtection="1"/>
    <xf numFmtId="0" fontId="4" fillId="2" borderId="8" xfId="0" applyFont="1" applyFill="1" applyBorder="1" applyAlignment="1" applyProtection="1">
      <alignment horizontal="center"/>
      <protection locked="0"/>
    </xf>
    <xf numFmtId="0" fontId="6" fillId="0" borderId="12" xfId="0" applyFont="1" applyFill="1" applyBorder="1" applyAlignment="1" applyProtection="1">
      <alignment wrapText="1"/>
      <protection locked="0"/>
    </xf>
    <xf numFmtId="0" fontId="0" fillId="0" borderId="0" xfId="0" applyProtection="1"/>
    <xf numFmtId="164" fontId="0" fillId="0" borderId="0" xfId="1" applyFont="1" applyProtection="1"/>
    <xf numFmtId="0" fontId="0" fillId="0" borderId="0" xfId="0" applyNumberFormat="1" applyProtection="1">
      <protection locked="0"/>
    </xf>
    <xf numFmtId="0" fontId="10" fillId="3" borderId="14" xfId="3" applyFont="1" applyFill="1" applyAlignment="1" applyProtection="1">
      <alignment horizontal="center"/>
      <protection locked="0"/>
    </xf>
    <xf numFmtId="0" fontId="10" fillId="3" borderId="10" xfId="3" applyFont="1" applyFill="1" applyBorder="1" applyAlignment="1" applyProtection="1">
      <alignment horizontal="center"/>
      <protection locked="0"/>
    </xf>
    <xf numFmtId="0" fontId="1" fillId="0" borderId="0" xfId="4" applyFill="1" applyProtection="1">
      <protection locked="0"/>
    </xf>
    <xf numFmtId="0" fontId="0" fillId="0" borderId="0" xfId="0" applyFill="1" applyProtection="1">
      <protection locked="0"/>
    </xf>
    <xf numFmtId="0" fontId="6" fillId="0" borderId="10" xfId="0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44" fontId="5" fillId="12" borderId="13" xfId="0" applyNumberFormat="1" applyFont="1" applyFill="1" applyBorder="1" applyProtection="1"/>
    <xf numFmtId="0" fontId="0" fillId="12" borderId="0" xfId="0" applyFill="1" applyProtection="1">
      <protection locked="0"/>
    </xf>
    <xf numFmtId="0" fontId="0" fillId="12" borderId="0" xfId="0" applyNumberFormat="1" applyFill="1" applyProtection="1">
      <protection locked="0"/>
    </xf>
    <xf numFmtId="0" fontId="0" fillId="12" borderId="0" xfId="0" applyFill="1" applyBorder="1" applyProtection="1"/>
    <xf numFmtId="164" fontId="0" fillId="12" borderId="0" xfId="1" applyFont="1" applyFill="1" applyBorder="1" applyProtection="1"/>
    <xf numFmtId="164" fontId="0" fillId="12" borderId="0" xfId="1" applyFont="1" applyFill="1" applyProtection="1"/>
    <xf numFmtId="0" fontId="0" fillId="12" borderId="0" xfId="0" applyFill="1" applyProtection="1"/>
    <xf numFmtId="0" fontId="10" fillId="3" borderId="15" xfId="3" applyFont="1" applyFill="1" applyBorder="1" applyAlignment="1" applyProtection="1">
      <alignment horizontal="center"/>
      <protection locked="0"/>
    </xf>
    <xf numFmtId="0" fontId="10" fillId="3" borderId="16" xfId="3" applyFont="1" applyFill="1" applyBorder="1" applyAlignment="1" applyProtection="1">
      <alignment horizontal="center"/>
      <protection locked="0"/>
    </xf>
    <xf numFmtId="0" fontId="0" fillId="13" borderId="7" xfId="0" applyFill="1" applyBorder="1" applyProtection="1">
      <protection locked="0"/>
    </xf>
    <xf numFmtId="0" fontId="0" fillId="13" borderId="8" xfId="0" applyFill="1" applyBorder="1" applyProtection="1">
      <protection locked="0"/>
    </xf>
    <xf numFmtId="0" fontId="13" fillId="3" borderId="0" xfId="0" applyNumberFormat="1" applyFont="1" applyFill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0" xfId="0" applyBorder="1" applyProtection="1"/>
    <xf numFmtId="0" fontId="4" fillId="3" borderId="2" xfId="0" applyFont="1" applyFill="1" applyBorder="1" applyProtection="1"/>
    <xf numFmtId="0" fontId="4" fillId="3" borderId="4" xfId="0" applyFont="1" applyFill="1" applyBorder="1" applyProtection="1"/>
    <xf numFmtId="0" fontId="4" fillId="3" borderId="3" xfId="0" applyFont="1" applyFill="1" applyBorder="1" applyProtection="1"/>
    <xf numFmtId="164" fontId="4" fillId="3" borderId="4" xfId="1" applyFont="1" applyFill="1" applyBorder="1" applyProtection="1"/>
    <xf numFmtId="0" fontId="0" fillId="0" borderId="0" xfId="0" applyFont="1" applyProtection="1"/>
    <xf numFmtId="164" fontId="0" fillId="0" borderId="0" xfId="1" applyFont="1" applyBorder="1" applyProtection="1"/>
    <xf numFmtId="0" fontId="0" fillId="0" borderId="5" xfId="0" applyFill="1" applyBorder="1" applyProtection="1"/>
    <xf numFmtId="0" fontId="0" fillId="0" borderId="0" xfId="0" applyFont="1" applyBorder="1" applyProtection="1"/>
    <xf numFmtId="0" fontId="0" fillId="0" borderId="0" xfId="0" applyFill="1" applyBorder="1" applyProtection="1"/>
    <xf numFmtId="0" fontId="12" fillId="0" borderId="0" xfId="4" applyFont="1" applyFill="1" applyProtection="1">
      <protection locked="0"/>
    </xf>
    <xf numFmtId="164" fontId="0" fillId="0" borderId="0" xfId="1" applyFont="1" applyFill="1" applyProtection="1">
      <protection locked="0"/>
    </xf>
    <xf numFmtId="0" fontId="1" fillId="5" borderId="0" xfId="4" applyFill="1" applyProtection="1">
      <protection locked="0"/>
    </xf>
    <xf numFmtId="0" fontId="0" fillId="5" borderId="0" xfId="0" applyFill="1" applyAlignment="1" applyProtection="1">
      <alignment horizontal="center" wrapText="1"/>
      <protection locked="0"/>
    </xf>
    <xf numFmtId="0" fontId="10" fillId="3" borderId="15" xfId="3" applyFont="1" applyFill="1" applyBorder="1" applyAlignment="1" applyProtection="1">
      <alignment horizontal="center"/>
      <protection locked="0"/>
    </xf>
    <xf numFmtId="0" fontId="10" fillId="3" borderId="16" xfId="3" applyFont="1" applyFill="1" applyBorder="1" applyAlignment="1" applyProtection="1">
      <alignment horizontal="center"/>
      <protection locked="0"/>
    </xf>
    <xf numFmtId="164" fontId="5" fillId="12" borderId="10" xfId="1" applyFont="1" applyFill="1" applyBorder="1" applyAlignment="1" applyProtection="1">
      <alignment horizontal="center"/>
    </xf>
    <xf numFmtId="164" fontId="5" fillId="12" borderId="11" xfId="1" applyFont="1" applyFill="1" applyBorder="1" applyAlignment="1" applyProtection="1">
      <alignment horizontal="center"/>
    </xf>
    <xf numFmtId="0" fontId="11" fillId="0" borderId="2" xfId="4" applyFont="1" applyFill="1" applyBorder="1" applyAlignment="1" applyProtection="1">
      <alignment horizontal="center"/>
      <protection locked="0"/>
    </xf>
    <xf numFmtId="0" fontId="11" fillId="0" borderId="3" xfId="4" applyFont="1" applyFill="1" applyBorder="1" applyAlignment="1" applyProtection="1">
      <alignment horizontal="center"/>
      <protection locked="0"/>
    </xf>
    <xf numFmtId="0" fontId="0" fillId="0" borderId="8" xfId="0" applyBorder="1" applyProtection="1"/>
    <xf numFmtId="0" fontId="0" fillId="14" borderId="8" xfId="0" applyFill="1" applyBorder="1" applyProtection="1"/>
  </cellXfs>
  <cellStyles count="14">
    <cellStyle name="20% - Accent2" xfId="4" builtinId="34"/>
    <cellStyle name="Currency" xfId="1" builtinId="4"/>
    <cellStyle name="Excel Built-in Normal" xfId="2" xr:uid="{00000000-0005-0000-0000-000003000000}"/>
    <cellStyle name="Heading 2" xfId="3" builtinId="17"/>
    <cellStyle name="Normal" xfId="0" builtinId="0"/>
    <cellStyle name="Style 1" xfId="5" xr:uid="{00000000-0005-0000-0000-000007000000}"/>
    <cellStyle name="Style 2" xfId="6" xr:uid="{00000000-0005-0000-0000-000008000000}"/>
    <cellStyle name="Style 3" xfId="7" xr:uid="{00000000-0005-0000-0000-000009000000}"/>
    <cellStyle name="Style 4" xfId="8" xr:uid="{00000000-0005-0000-0000-00000A000000}"/>
    <cellStyle name="Style 5" xfId="9" xr:uid="{00000000-0005-0000-0000-00000B000000}"/>
    <cellStyle name="Style 6" xfId="10" xr:uid="{00000000-0005-0000-0000-00000C000000}"/>
    <cellStyle name="Style 7" xfId="11" xr:uid="{00000000-0005-0000-0000-00000D000000}"/>
    <cellStyle name="Style 8" xfId="12" xr:uid="{00000000-0005-0000-0000-00000E000000}"/>
    <cellStyle name="Style 9" xfId="13" xr:uid="{00000000-0005-0000-0000-00000F000000}"/>
  </cellStyles>
  <dxfs count="9"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theme="0"/>
        </patternFill>
      </fill>
    </dxf>
    <dxf>
      <fill>
        <patternFill>
          <bgColor rgb="FF7030A0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CC00CC"/>
      <color rgb="FFFCBA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114300</xdr:rowOff>
        </xdr:from>
        <xdr:to>
          <xdr:col>2</xdr:col>
          <xdr:colOff>781050</xdr:colOff>
          <xdr:row>15</xdr:row>
          <xdr:rowOff>171450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152400</xdr:rowOff>
        </xdr:from>
        <xdr:to>
          <xdr:col>2</xdr:col>
          <xdr:colOff>66675</xdr:colOff>
          <xdr:row>24</xdr:row>
          <xdr:rowOff>152400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95250</xdr:rowOff>
        </xdr:from>
        <xdr:to>
          <xdr:col>2</xdr:col>
          <xdr:colOff>114300</xdr:colOff>
          <xdr:row>18</xdr:row>
          <xdr:rowOff>95250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76200</xdr:rowOff>
        </xdr:from>
        <xdr:to>
          <xdr:col>2</xdr:col>
          <xdr:colOff>76200</xdr:colOff>
          <xdr:row>21</xdr:row>
          <xdr:rowOff>133350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I20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8" sqref="J18"/>
    </sheetView>
  </sheetViews>
  <sheetFormatPr defaultColWidth="9.140625" defaultRowHeight="15" x14ac:dyDescent="0.25"/>
  <cols>
    <col min="1" max="1" width="48.5703125" style="6" bestFit="1" customWidth="1"/>
    <col min="2" max="2" width="20.5703125" style="34" bestFit="1" customWidth="1"/>
    <col min="3" max="3" width="26.5703125" style="6" customWidth="1"/>
    <col min="4" max="4" width="11" style="6" customWidth="1"/>
    <col min="5" max="5" width="14.5703125" style="7" bestFit="1" customWidth="1"/>
    <col min="6" max="6" width="11.7109375" style="6" bestFit="1" customWidth="1"/>
    <col min="7" max="7" width="17.7109375" style="6" bestFit="1" customWidth="1"/>
    <col min="8" max="8" width="14.140625" style="7" bestFit="1" customWidth="1"/>
    <col min="9" max="9" width="6" style="3" bestFit="1" customWidth="1"/>
    <col min="10" max="16384" width="9.140625" style="6"/>
  </cols>
  <sheetData>
    <row r="1" spans="1:9" ht="15.75" thickBot="1" x14ac:dyDescent="0.3">
      <c r="A1" s="30" t="s">
        <v>3</v>
      </c>
      <c r="B1" s="31" t="s">
        <v>66</v>
      </c>
      <c r="C1" s="32" t="s">
        <v>4</v>
      </c>
      <c r="D1" s="31" t="s">
        <v>5</v>
      </c>
      <c r="E1" s="33" t="s">
        <v>31</v>
      </c>
      <c r="F1" s="32" t="s">
        <v>6</v>
      </c>
      <c r="G1" s="30" t="s">
        <v>90</v>
      </c>
      <c r="H1" s="33" t="s">
        <v>61</v>
      </c>
      <c r="I1" s="26" t="s">
        <v>62</v>
      </c>
    </row>
    <row r="2" spans="1:9" x14ac:dyDescent="0.25">
      <c r="A2" s="27" t="s">
        <v>32</v>
      </c>
      <c r="B2" s="34" t="s">
        <v>24</v>
      </c>
      <c r="C2" s="29" t="s">
        <v>86</v>
      </c>
      <c r="D2" s="29" t="s">
        <v>8</v>
      </c>
      <c r="E2" s="35">
        <v>80</v>
      </c>
      <c r="F2" s="28">
        <v>12</v>
      </c>
      <c r="G2" s="29" t="s">
        <v>23</v>
      </c>
      <c r="H2" s="35">
        <f t="shared" ref="H2:H3" si="0">IFERROR(E2/F2,"")</f>
        <v>6.666666666666667</v>
      </c>
      <c r="I2" s="3">
        <f>IF(ISERROR(SEARCH('Menu Costing'!$N$4,A2)),"",ROW())</f>
        <v>2</v>
      </c>
    </row>
    <row r="3" spans="1:9" x14ac:dyDescent="0.25">
      <c r="A3" s="27" t="s">
        <v>33</v>
      </c>
      <c r="B3" s="34" t="s">
        <v>24</v>
      </c>
      <c r="C3" s="29" t="s">
        <v>86</v>
      </c>
      <c r="D3" s="29" t="s">
        <v>19</v>
      </c>
      <c r="E3" s="35">
        <v>45</v>
      </c>
      <c r="F3" s="28">
        <v>1.5</v>
      </c>
      <c r="G3" s="29" t="s">
        <v>15</v>
      </c>
      <c r="H3" s="35">
        <f t="shared" si="0"/>
        <v>30</v>
      </c>
      <c r="I3" s="3">
        <f>IF(ISERROR(SEARCH('Menu Costing'!$N$4,A3)),"",ROW())</f>
        <v>3</v>
      </c>
    </row>
    <row r="4" spans="1:9" x14ac:dyDescent="0.25">
      <c r="A4" s="27" t="s">
        <v>37</v>
      </c>
      <c r="B4" s="34" t="s">
        <v>9</v>
      </c>
      <c r="C4" s="29" t="s">
        <v>82</v>
      </c>
      <c r="D4" s="29" t="s">
        <v>11</v>
      </c>
      <c r="E4" s="35">
        <v>4.8499999999999996</v>
      </c>
      <c r="F4" s="28">
        <v>1</v>
      </c>
      <c r="G4" s="29" t="s">
        <v>11</v>
      </c>
      <c r="H4" s="35">
        <f>IFERROR(E8/F8,"")</f>
        <v>1.5</v>
      </c>
      <c r="I4" s="3" t="str">
        <f>IF(ISERROR(SEARCH('Menu Costing'!$N$4,A4)),"",ROW())</f>
        <v/>
      </c>
    </row>
    <row r="5" spans="1:9" x14ac:dyDescent="0.25">
      <c r="A5" s="27" t="s">
        <v>38</v>
      </c>
      <c r="B5" s="34" t="s">
        <v>9</v>
      </c>
      <c r="C5" s="29" t="s">
        <v>82</v>
      </c>
      <c r="D5" s="29" t="s">
        <v>8</v>
      </c>
      <c r="E5" s="35">
        <v>37.25</v>
      </c>
      <c r="F5" s="28">
        <v>2</v>
      </c>
      <c r="G5" s="29" t="s">
        <v>15</v>
      </c>
      <c r="H5" s="35">
        <f>IFERROR(E11/F11,"")</f>
        <v>1.25</v>
      </c>
      <c r="I5" s="3" t="str">
        <f>IF(ISERROR(SEARCH('Menu Costing'!$N$4,A5)),"",ROW())</f>
        <v/>
      </c>
    </row>
    <row r="6" spans="1:9" x14ac:dyDescent="0.25">
      <c r="A6" s="27" t="s">
        <v>40</v>
      </c>
      <c r="B6" s="34" t="s">
        <v>10</v>
      </c>
      <c r="C6" s="29" t="s">
        <v>83</v>
      </c>
      <c r="D6" s="29" t="s">
        <v>12</v>
      </c>
      <c r="E6" s="35">
        <v>10</v>
      </c>
      <c r="F6" s="28">
        <v>1</v>
      </c>
      <c r="G6" s="29" t="s">
        <v>12</v>
      </c>
      <c r="H6" s="35">
        <v>1.25</v>
      </c>
      <c r="I6" s="3" t="str">
        <f>IF(ISERROR(SEARCH('Menu Costing'!$N$4,A6)),"",ROW())</f>
        <v/>
      </c>
    </row>
    <row r="7" spans="1:9" x14ac:dyDescent="0.25">
      <c r="A7" s="27" t="s">
        <v>40</v>
      </c>
      <c r="B7" s="34" t="s">
        <v>10</v>
      </c>
      <c r="C7" s="29" t="s">
        <v>83</v>
      </c>
      <c r="D7" s="29" t="s">
        <v>12</v>
      </c>
      <c r="E7" s="35">
        <v>12</v>
      </c>
      <c r="F7" s="28">
        <v>1</v>
      </c>
      <c r="G7" s="29" t="s">
        <v>12</v>
      </c>
      <c r="H7" s="35">
        <v>1.5</v>
      </c>
      <c r="I7" s="3" t="str">
        <f>IF(ISERROR(SEARCH('Menu Costing'!$N$4,A7)),"",ROW())</f>
        <v/>
      </c>
    </row>
    <row r="8" spans="1:9" x14ac:dyDescent="0.25">
      <c r="A8" s="27" t="s">
        <v>30</v>
      </c>
      <c r="B8" s="34" t="s">
        <v>10</v>
      </c>
      <c r="C8" s="29" t="s">
        <v>84</v>
      </c>
      <c r="D8" s="29" t="s">
        <v>12</v>
      </c>
      <c r="E8" s="35">
        <v>1.5</v>
      </c>
      <c r="F8" s="28">
        <v>1</v>
      </c>
      <c r="G8" s="29" t="s">
        <v>12</v>
      </c>
      <c r="H8" s="35">
        <v>1.25</v>
      </c>
      <c r="I8" s="3" t="str">
        <f>IF(ISERROR(SEARCH('Menu Costing'!$N$4,A8)),"",ROW())</f>
        <v/>
      </c>
    </row>
    <row r="9" spans="1:9" x14ac:dyDescent="0.25">
      <c r="A9" s="27" t="s">
        <v>41</v>
      </c>
      <c r="B9" s="34" t="s">
        <v>10</v>
      </c>
      <c r="C9" s="29" t="s">
        <v>84</v>
      </c>
      <c r="D9" s="29" t="s">
        <v>12</v>
      </c>
      <c r="E9" s="35">
        <v>1.5</v>
      </c>
      <c r="F9" s="28">
        <v>1</v>
      </c>
      <c r="G9" s="29" t="s">
        <v>12</v>
      </c>
      <c r="H9" s="35">
        <v>2</v>
      </c>
      <c r="I9" s="3" t="str">
        <f>IF(ISERROR(SEARCH('Menu Costing'!$N$4,A9)),"",ROW())</f>
        <v/>
      </c>
    </row>
    <row r="10" spans="1:9" x14ac:dyDescent="0.25">
      <c r="A10" s="27" t="s">
        <v>42</v>
      </c>
      <c r="B10" s="34" t="s">
        <v>10</v>
      </c>
      <c r="C10" s="29" t="s">
        <v>84</v>
      </c>
      <c r="D10" s="29" t="s">
        <v>12</v>
      </c>
      <c r="E10" s="35">
        <v>2.5</v>
      </c>
      <c r="F10" s="28">
        <v>1</v>
      </c>
      <c r="G10" s="29" t="s">
        <v>12</v>
      </c>
      <c r="H10" s="35">
        <v>1</v>
      </c>
      <c r="I10" s="3" t="str">
        <f>IF(ISERROR(SEARCH('Menu Costing'!$N$4,A10)),"",ROW())</f>
        <v/>
      </c>
    </row>
    <row r="11" spans="1:9" x14ac:dyDescent="0.25">
      <c r="A11" s="27" t="s">
        <v>43</v>
      </c>
      <c r="B11" s="34" t="s">
        <v>10</v>
      </c>
      <c r="C11" s="29" t="s">
        <v>84</v>
      </c>
      <c r="D11" s="29" t="s">
        <v>12</v>
      </c>
      <c r="E11" s="35">
        <v>1.25</v>
      </c>
      <c r="F11" s="28">
        <v>1</v>
      </c>
      <c r="G11" s="29" t="s">
        <v>12</v>
      </c>
      <c r="H11" s="35">
        <v>1.25</v>
      </c>
      <c r="I11" s="3" t="str">
        <f>IF(ISERROR(SEARCH('Menu Costing'!$N$4,A11)),"",ROW())</f>
        <v/>
      </c>
    </row>
    <row r="12" spans="1:9" x14ac:dyDescent="0.25">
      <c r="A12" s="27" t="s">
        <v>45</v>
      </c>
      <c r="B12" s="34" t="s">
        <v>10</v>
      </c>
      <c r="C12" s="29" t="s">
        <v>84</v>
      </c>
      <c r="D12" s="29" t="s">
        <v>12</v>
      </c>
      <c r="E12" s="35">
        <v>1.5</v>
      </c>
      <c r="F12" s="28">
        <v>1</v>
      </c>
      <c r="G12" s="29" t="s">
        <v>12</v>
      </c>
      <c r="H12" s="35">
        <f>IFERROR(E13/F13,"")</f>
        <v>6.4</v>
      </c>
      <c r="I12" s="3" t="str">
        <f>IF(ISERROR(SEARCH('Menu Costing'!$N$4,A12)),"",ROW())</f>
        <v/>
      </c>
    </row>
    <row r="13" spans="1:9" x14ac:dyDescent="0.25">
      <c r="A13" s="27" t="s">
        <v>47</v>
      </c>
      <c r="B13" s="34" t="s">
        <v>10</v>
      </c>
      <c r="C13" s="29" t="s">
        <v>87</v>
      </c>
      <c r="D13" s="29" t="s">
        <v>22</v>
      </c>
      <c r="E13" s="35">
        <v>32</v>
      </c>
      <c r="F13" s="28">
        <v>5</v>
      </c>
      <c r="G13" s="29" t="s">
        <v>11</v>
      </c>
      <c r="H13" s="35">
        <f>IFERROR(E14/F14,"")</f>
        <v>1.25</v>
      </c>
      <c r="I13" s="3" t="str">
        <f>IF(ISERROR(SEARCH('Menu Costing'!$N$4,A13)),"",ROW())</f>
        <v/>
      </c>
    </row>
    <row r="14" spans="1:9" x14ac:dyDescent="0.25">
      <c r="A14" s="27" t="s">
        <v>48</v>
      </c>
      <c r="B14" s="34" t="s">
        <v>10</v>
      </c>
      <c r="C14" s="29" t="s">
        <v>87</v>
      </c>
      <c r="D14" s="29" t="s">
        <v>11</v>
      </c>
      <c r="E14" s="35">
        <v>1.25</v>
      </c>
      <c r="F14" s="28">
        <v>1</v>
      </c>
      <c r="G14" s="29" t="s">
        <v>11</v>
      </c>
      <c r="H14" s="35">
        <f>IFERROR(E15/F15,"")</f>
        <v>3.95</v>
      </c>
      <c r="I14" s="3" t="str">
        <f>IF(ISERROR(SEARCH('Menu Costing'!$N$4,A14)),"",ROW())</f>
        <v/>
      </c>
    </row>
    <row r="15" spans="1:9" x14ac:dyDescent="0.25">
      <c r="A15" s="27" t="s">
        <v>49</v>
      </c>
      <c r="B15" s="34" t="s">
        <v>10</v>
      </c>
      <c r="C15" s="29" t="s">
        <v>87</v>
      </c>
      <c r="D15" s="29" t="s">
        <v>7</v>
      </c>
      <c r="E15" s="35">
        <v>3.95</v>
      </c>
      <c r="F15" s="28">
        <v>1</v>
      </c>
      <c r="G15" s="29" t="s">
        <v>7</v>
      </c>
      <c r="H15" s="35">
        <f>IFERROR(E16/F16,"")</f>
        <v>10</v>
      </c>
      <c r="I15" s="3" t="str">
        <f>IF(ISERROR(SEARCH('Menu Costing'!$N$4,A15)),"",ROW())</f>
        <v/>
      </c>
    </row>
    <row r="16" spans="1:9" x14ac:dyDescent="0.25">
      <c r="A16" s="27" t="s">
        <v>52</v>
      </c>
      <c r="B16" s="34" t="s">
        <v>10</v>
      </c>
      <c r="C16" s="29" t="s">
        <v>87</v>
      </c>
      <c r="D16" s="29" t="s">
        <v>44</v>
      </c>
      <c r="E16" s="35">
        <v>3</v>
      </c>
      <c r="F16" s="28">
        <v>0.3</v>
      </c>
      <c r="G16" s="29" t="s">
        <v>11</v>
      </c>
      <c r="H16" s="35">
        <f>IFERROR(E17/F17,"")</f>
        <v>2.4</v>
      </c>
      <c r="I16" s="3" t="str">
        <f>IF(ISERROR(SEARCH('Menu Costing'!$N$4,A16)),"",ROW())</f>
        <v/>
      </c>
    </row>
    <row r="17" spans="1:9" x14ac:dyDescent="0.25">
      <c r="A17" s="27" t="s">
        <v>53</v>
      </c>
      <c r="B17" s="34" t="s">
        <v>10</v>
      </c>
      <c r="C17" s="29" t="s">
        <v>87</v>
      </c>
      <c r="D17" s="29" t="s">
        <v>8</v>
      </c>
      <c r="E17" s="35">
        <v>60</v>
      </c>
      <c r="F17" s="28">
        <v>25</v>
      </c>
      <c r="G17" s="29" t="s">
        <v>11</v>
      </c>
      <c r="H17" s="35">
        <f>IFERROR(E18/F18,"")</f>
        <v>14.444444444444445</v>
      </c>
      <c r="I17" s="3" t="str">
        <f>IF(ISERROR(SEARCH('Menu Costing'!$N$4,A17)),"",ROW())</f>
        <v/>
      </c>
    </row>
    <row r="18" spans="1:9" x14ac:dyDescent="0.25">
      <c r="A18" s="27" t="s">
        <v>55</v>
      </c>
      <c r="B18" s="34" t="s">
        <v>10</v>
      </c>
      <c r="C18" s="29" t="s">
        <v>87</v>
      </c>
      <c r="D18" s="29" t="s">
        <v>8</v>
      </c>
      <c r="E18" s="35">
        <v>13</v>
      </c>
      <c r="F18" s="28">
        <v>0.9</v>
      </c>
      <c r="G18" s="29" t="s">
        <v>15</v>
      </c>
      <c r="H18" s="35">
        <f>IFERROR(E19/F19,"")</f>
        <v>7.49</v>
      </c>
      <c r="I18" s="3" t="str">
        <f>IF(ISERROR(SEARCH('Menu Costing'!$N$4,A18)),"",ROW())</f>
        <v/>
      </c>
    </row>
    <row r="19" spans="1:9" x14ac:dyDescent="0.25">
      <c r="A19" s="36" t="s">
        <v>56</v>
      </c>
      <c r="B19" s="37" t="s">
        <v>64</v>
      </c>
      <c r="C19" s="38" t="s">
        <v>85</v>
      </c>
      <c r="D19" s="29" t="s">
        <v>11</v>
      </c>
      <c r="E19" s="35">
        <v>7.49</v>
      </c>
      <c r="F19" s="28">
        <v>1</v>
      </c>
      <c r="G19" s="29" t="s">
        <v>11</v>
      </c>
      <c r="H19" s="35">
        <f>IFERROR(E20/F20,"")</f>
        <v>18.57</v>
      </c>
      <c r="I19" s="3" t="str">
        <f>IF(ISERROR(SEARCH('Menu Costing'!$N$4,A19)),"",ROW())</f>
        <v/>
      </c>
    </row>
    <row r="20" spans="1:9" x14ac:dyDescent="0.25">
      <c r="A20" s="36" t="s">
        <v>58</v>
      </c>
      <c r="B20" s="37" t="s">
        <v>64</v>
      </c>
      <c r="C20" s="29" t="s">
        <v>84</v>
      </c>
      <c r="D20" s="29" t="s">
        <v>15</v>
      </c>
      <c r="E20" s="35">
        <v>18.57</v>
      </c>
      <c r="F20" s="28">
        <v>1</v>
      </c>
      <c r="G20" s="29" t="s">
        <v>15</v>
      </c>
      <c r="H20" s="35">
        <v>9.8000000000000007</v>
      </c>
      <c r="I20" s="3" t="str">
        <f>IF(ISERROR(SEARCH('Menu Costing'!$N$4,A20)),"",ROW())</f>
        <v/>
      </c>
    </row>
  </sheetData>
  <sheetProtection selectLockedCells="1"/>
  <autoFilter ref="A1:H20" xr:uid="{00000000-0009-0000-0000-000000000000}"/>
  <dataValidations count="3">
    <dataValidation type="list" allowBlank="1" showInputMessage="1" showErrorMessage="1" sqref="G2:G20 D2:D20" xr:uid="{00000000-0002-0000-0000-000001000000}">
      <formula1>UNIT</formula1>
    </dataValidation>
    <dataValidation type="list" allowBlank="1" showInputMessage="1" showErrorMessage="1" sqref="C2:C20" xr:uid="{00000000-0002-0000-0000-000000000000}">
      <formula1>SUPPLIER</formula1>
    </dataValidation>
    <dataValidation type="list" allowBlank="1" showInputMessage="1" showErrorMessage="1" sqref="B2:B20" xr:uid="{00000000-0002-0000-0000-000002000000}">
      <formula1>CATEGORY</formula1>
    </dataValidation>
  </dataValidations>
  <pageMargins left="0.7" right="0.7" top="0.75" bottom="0.75" header="0.3" footer="0.3"/>
  <pageSetup scale="3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</sheetPr>
  <dimension ref="A1:C34"/>
  <sheetViews>
    <sheetView workbookViewId="0">
      <selection activeCell="A13" sqref="A13"/>
    </sheetView>
  </sheetViews>
  <sheetFormatPr defaultRowHeight="15" x14ac:dyDescent="0.25"/>
  <cols>
    <col min="1" max="1" width="33.140625" style="6" customWidth="1"/>
    <col min="2" max="2" width="53" style="6" bestFit="1" customWidth="1"/>
    <col min="3" max="3" width="28.42578125" style="6" bestFit="1" customWidth="1"/>
    <col min="4" max="16384" width="9.140625" style="6"/>
  </cols>
  <sheetData>
    <row r="1" spans="1:3" x14ac:dyDescent="0.25">
      <c r="A1" s="50" t="s">
        <v>5</v>
      </c>
      <c r="B1" s="50" t="s">
        <v>63</v>
      </c>
      <c r="C1" s="50" t="s">
        <v>4</v>
      </c>
    </row>
    <row r="2" spans="1:3" x14ac:dyDescent="0.25">
      <c r="A2" s="49" t="s">
        <v>76</v>
      </c>
      <c r="B2" s="49" t="s">
        <v>77</v>
      </c>
      <c r="C2" s="49" t="s">
        <v>78</v>
      </c>
    </row>
    <row r="3" spans="1:3" x14ac:dyDescent="0.25">
      <c r="A3" s="49" t="s">
        <v>18</v>
      </c>
      <c r="B3" s="49" t="s">
        <v>24</v>
      </c>
      <c r="C3" s="49" t="s">
        <v>82</v>
      </c>
    </row>
    <row r="4" spans="1:3" x14ac:dyDescent="0.25">
      <c r="A4" s="49" t="s">
        <v>34</v>
      </c>
      <c r="B4" s="49" t="s">
        <v>9</v>
      </c>
      <c r="C4" s="49" t="s">
        <v>83</v>
      </c>
    </row>
    <row r="5" spans="1:3" x14ac:dyDescent="0.25">
      <c r="A5" s="49" t="s">
        <v>57</v>
      </c>
      <c r="B5" s="49" t="s">
        <v>10</v>
      </c>
      <c r="C5" s="49" t="s">
        <v>84</v>
      </c>
    </row>
    <row r="6" spans="1:3" x14ac:dyDescent="0.25">
      <c r="A6" s="49" t="s">
        <v>23</v>
      </c>
      <c r="B6" s="49" t="s">
        <v>64</v>
      </c>
      <c r="C6" s="49" t="s">
        <v>85</v>
      </c>
    </row>
    <row r="7" spans="1:3" x14ac:dyDescent="0.25">
      <c r="A7" s="49" t="s">
        <v>27</v>
      </c>
      <c r="B7" s="49" t="s">
        <v>29</v>
      </c>
      <c r="C7" s="49" t="s">
        <v>86</v>
      </c>
    </row>
    <row r="8" spans="1:3" x14ac:dyDescent="0.25">
      <c r="A8" s="49" t="s">
        <v>54</v>
      </c>
      <c r="B8" s="49" t="s">
        <v>59</v>
      </c>
      <c r="C8" s="49" t="s">
        <v>87</v>
      </c>
    </row>
    <row r="9" spans="1:3" x14ac:dyDescent="0.25">
      <c r="A9" s="49" t="s">
        <v>16</v>
      </c>
      <c r="B9" s="49" t="s">
        <v>65</v>
      </c>
      <c r="C9" s="49" t="s">
        <v>88</v>
      </c>
    </row>
    <row r="10" spans="1:3" x14ac:dyDescent="0.25">
      <c r="A10" s="49" t="s">
        <v>12</v>
      </c>
      <c r="B10" s="49"/>
      <c r="C10" s="49" t="s">
        <v>89</v>
      </c>
    </row>
    <row r="11" spans="1:3" x14ac:dyDescent="0.25">
      <c r="A11" s="49" t="s">
        <v>17</v>
      </c>
      <c r="B11" s="49"/>
      <c r="C11" s="49"/>
    </row>
    <row r="12" spans="1:3" x14ac:dyDescent="0.25">
      <c r="A12" s="49" t="s">
        <v>26</v>
      </c>
      <c r="B12" s="49"/>
      <c r="C12" s="49"/>
    </row>
    <row r="13" spans="1:3" x14ac:dyDescent="0.25">
      <c r="A13" s="49" t="s">
        <v>51</v>
      </c>
      <c r="B13" s="49"/>
      <c r="C13" s="49"/>
    </row>
    <row r="14" spans="1:3" x14ac:dyDescent="0.25">
      <c r="A14" s="49" t="s">
        <v>8</v>
      </c>
      <c r="B14" s="49"/>
      <c r="C14" s="49"/>
    </row>
    <row r="15" spans="1:3" x14ac:dyDescent="0.25">
      <c r="A15" s="49" t="s">
        <v>14</v>
      </c>
      <c r="B15" s="49"/>
      <c r="C15" s="49"/>
    </row>
    <row r="16" spans="1:3" x14ac:dyDescent="0.25">
      <c r="A16" s="49" t="s">
        <v>28</v>
      </c>
      <c r="B16" s="49"/>
      <c r="C16" s="49"/>
    </row>
    <row r="17" spans="1:3" x14ac:dyDescent="0.25">
      <c r="A17" s="49" t="s">
        <v>22</v>
      </c>
      <c r="B17" s="49"/>
      <c r="C17" s="49"/>
    </row>
    <row r="18" spans="1:3" x14ac:dyDescent="0.25">
      <c r="A18" s="49" t="s">
        <v>20</v>
      </c>
      <c r="B18" s="49"/>
      <c r="C18" s="49"/>
    </row>
    <row r="19" spans="1:3" x14ac:dyDescent="0.25">
      <c r="A19" s="49" t="s">
        <v>21</v>
      </c>
      <c r="B19" s="49"/>
      <c r="C19" s="49"/>
    </row>
    <row r="20" spans="1:3" x14ac:dyDescent="0.25">
      <c r="A20" s="49" t="s">
        <v>15</v>
      </c>
      <c r="B20" s="49"/>
      <c r="C20" s="49"/>
    </row>
    <row r="21" spans="1:3" x14ac:dyDescent="0.25">
      <c r="A21" s="49" t="s">
        <v>13</v>
      </c>
      <c r="B21" s="49"/>
      <c r="C21" s="49"/>
    </row>
    <row r="22" spans="1:3" x14ac:dyDescent="0.25">
      <c r="A22" s="49" t="s">
        <v>11</v>
      </c>
      <c r="B22" s="49"/>
      <c r="C22" s="49"/>
    </row>
    <row r="23" spans="1:3" x14ac:dyDescent="0.25">
      <c r="A23" s="49" t="s">
        <v>35</v>
      </c>
      <c r="B23" s="49"/>
      <c r="C23" s="49"/>
    </row>
    <row r="24" spans="1:3" x14ac:dyDescent="0.25">
      <c r="A24" s="49" t="s">
        <v>19</v>
      </c>
      <c r="B24" s="49"/>
      <c r="C24" s="49"/>
    </row>
    <row r="25" spans="1:3" x14ac:dyDescent="0.25">
      <c r="A25" s="49" t="s">
        <v>7</v>
      </c>
      <c r="B25" s="49"/>
      <c r="C25" s="49"/>
    </row>
    <row r="26" spans="1:3" x14ac:dyDescent="0.25">
      <c r="A26" s="49" t="s">
        <v>50</v>
      </c>
      <c r="B26" s="49"/>
      <c r="C26" s="49"/>
    </row>
    <row r="27" spans="1:3" x14ac:dyDescent="0.25">
      <c r="A27" s="49" t="s">
        <v>44</v>
      </c>
      <c r="B27" s="49"/>
      <c r="C27" s="49"/>
    </row>
    <row r="28" spans="1:3" x14ac:dyDescent="0.25">
      <c r="A28" s="49" t="s">
        <v>36</v>
      </c>
      <c r="B28" s="49"/>
      <c r="C28" s="49"/>
    </row>
    <row r="29" spans="1:3" x14ac:dyDescent="0.25">
      <c r="A29" s="49" t="s">
        <v>60</v>
      </c>
      <c r="B29" s="49"/>
      <c r="C29" s="49"/>
    </row>
    <row r="30" spans="1:3" x14ac:dyDescent="0.25">
      <c r="A30" s="49" t="s">
        <v>46</v>
      </c>
      <c r="B30" s="49"/>
      <c r="C30" s="49"/>
    </row>
    <row r="31" spans="1:3" x14ac:dyDescent="0.25">
      <c r="A31" s="49" t="s">
        <v>39</v>
      </c>
      <c r="B31" s="49"/>
      <c r="C31" s="49"/>
    </row>
    <row r="32" spans="1:3" x14ac:dyDescent="0.25">
      <c r="A32" s="49" t="s">
        <v>25</v>
      </c>
      <c r="B32" s="49"/>
      <c r="C32" s="49"/>
    </row>
    <row r="33" spans="1:3" x14ac:dyDescent="0.25">
      <c r="A33" s="49"/>
      <c r="B33" s="49"/>
      <c r="C33" s="49"/>
    </row>
    <row r="34" spans="1:3" x14ac:dyDescent="0.25">
      <c r="A34" s="49"/>
      <c r="B34" s="49"/>
      <c r="C34" s="49"/>
    </row>
  </sheetData>
  <sheetProtection selectLockedCells="1"/>
  <sortState xmlns:xlrd2="http://schemas.microsoft.com/office/spreadsheetml/2017/richdata2" ref="A3:A32">
    <sortCondition ref="A3:A3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A500"/>
  <sheetViews>
    <sheetView workbookViewId="0">
      <selection activeCell="A2" sqref="A2"/>
    </sheetView>
  </sheetViews>
  <sheetFormatPr defaultRowHeight="15" x14ac:dyDescent="0.25"/>
  <cols>
    <col min="1" max="1" width="35.42578125" bestFit="1" customWidth="1"/>
  </cols>
  <sheetData>
    <row r="1" spans="1:1" x14ac:dyDescent="0.25">
      <c r="A1" t="s">
        <v>81</v>
      </c>
    </row>
    <row r="2" spans="1:1" x14ac:dyDescent="0.25">
      <c r="A2" t="str">
        <f>IFERROR((INDEX('Product Catalogue'!A:A,SMALL('Product Catalogue'!I:I,ROW(A1)),1)),"")</f>
        <v>Salt Kosher 3lb</v>
      </c>
    </row>
    <row r="3" spans="1:1" x14ac:dyDescent="0.25">
      <c r="A3" t="str">
        <f>IFERROR((INDEX('Product Catalogue'!A:A,SMALL('Product Catalogue'!I:I,ROW(A2)),1)),"")</f>
        <v>Salt Flaked Organic 1.5kg</v>
      </c>
    </row>
    <row r="4" spans="1:1" x14ac:dyDescent="0.25">
      <c r="A4" t="str">
        <f>IFERROR((INDEX('Product Catalogue'!A:A,SMALL('Product Catalogue'!I:I,ROW(A3)),1)),"")</f>
        <v/>
      </c>
    </row>
    <row r="5" spans="1:1" x14ac:dyDescent="0.25">
      <c r="A5" t="str">
        <f>IFERROR((INDEX('Product Catalogue'!A:A,SMALL('Product Catalogue'!I:I,ROW(A4)),1)),"")</f>
        <v/>
      </c>
    </row>
    <row r="6" spans="1:1" x14ac:dyDescent="0.25">
      <c r="A6" t="str">
        <f>IFERROR((INDEX('Product Catalogue'!A:A,SMALL('Product Catalogue'!I:I,ROW(A5)),1)),"")</f>
        <v/>
      </c>
    </row>
    <row r="7" spans="1:1" x14ac:dyDescent="0.25">
      <c r="A7" t="str">
        <f>IFERROR((INDEX('Product Catalogue'!A:A,SMALL('Product Catalogue'!I:I,ROW(A6)),1)),"")</f>
        <v/>
      </c>
    </row>
    <row r="8" spans="1:1" x14ac:dyDescent="0.25">
      <c r="A8" t="str">
        <f>IFERROR((INDEX('Product Catalogue'!A:A,SMALL('Product Catalogue'!I:I,ROW(A7)),1)),"")</f>
        <v/>
      </c>
    </row>
    <row r="9" spans="1:1" x14ac:dyDescent="0.25">
      <c r="A9" t="str">
        <f>IFERROR((INDEX('Product Catalogue'!A:A,SMALL('Product Catalogue'!I:I,ROW(A8)),1)),"")</f>
        <v/>
      </c>
    </row>
    <row r="10" spans="1:1" x14ac:dyDescent="0.25">
      <c r="A10" t="str">
        <f>IFERROR((INDEX('Product Catalogue'!A:A,SMALL('Product Catalogue'!I:I,ROW(A9)),1)),"")</f>
        <v/>
      </c>
    </row>
    <row r="11" spans="1:1" x14ac:dyDescent="0.25">
      <c r="A11" t="str">
        <f>IFERROR((INDEX('Product Catalogue'!A:A,SMALL('Product Catalogue'!I:I,ROW(A10)),1)),"")</f>
        <v/>
      </c>
    </row>
    <row r="12" spans="1:1" x14ac:dyDescent="0.25">
      <c r="A12" t="str">
        <f>IFERROR((INDEX('Product Catalogue'!A:A,SMALL('Product Catalogue'!I:I,ROW(A11)),1)),"")</f>
        <v/>
      </c>
    </row>
    <row r="13" spans="1:1" x14ac:dyDescent="0.25">
      <c r="A13" t="str">
        <f>IFERROR((INDEX('Product Catalogue'!A:A,SMALL('Product Catalogue'!I:I,ROW(A12)),1)),"")</f>
        <v/>
      </c>
    </row>
    <row r="14" spans="1:1" x14ac:dyDescent="0.25">
      <c r="A14" t="str">
        <f>IFERROR((INDEX('Product Catalogue'!A:A,SMALL('Product Catalogue'!I:I,ROW(A13)),1)),"")</f>
        <v/>
      </c>
    </row>
    <row r="15" spans="1:1" x14ac:dyDescent="0.25">
      <c r="A15" t="str">
        <f>IFERROR((INDEX('Product Catalogue'!A:A,SMALL('Product Catalogue'!I:I,ROW(A14)),1)),"")</f>
        <v/>
      </c>
    </row>
    <row r="16" spans="1:1" x14ac:dyDescent="0.25">
      <c r="A16" t="str">
        <f>IFERROR((INDEX('Product Catalogue'!A:A,SMALL('Product Catalogue'!I:I,ROW(A15)),1)),"")</f>
        <v/>
      </c>
    </row>
    <row r="17" spans="1:1" x14ac:dyDescent="0.25">
      <c r="A17" t="str">
        <f>IFERROR((INDEX('Product Catalogue'!A:A,SMALL('Product Catalogue'!I:I,ROW(A16)),1)),"")</f>
        <v/>
      </c>
    </row>
    <row r="18" spans="1:1" x14ac:dyDescent="0.25">
      <c r="A18" t="str">
        <f>IFERROR((INDEX('Product Catalogue'!A:A,SMALL('Product Catalogue'!I:I,ROW(A17)),1)),"")</f>
        <v/>
      </c>
    </row>
    <row r="19" spans="1:1" x14ac:dyDescent="0.25">
      <c r="A19" t="str">
        <f>IFERROR((INDEX('Product Catalogue'!A:A,SMALL('Product Catalogue'!I:I,ROW(A18)),1)),"")</f>
        <v/>
      </c>
    </row>
    <row r="20" spans="1:1" x14ac:dyDescent="0.25">
      <c r="A20" t="str">
        <f>IFERROR((INDEX('Product Catalogue'!A:A,SMALL('Product Catalogue'!I:I,ROW(A19)),1)),"")</f>
        <v/>
      </c>
    </row>
    <row r="21" spans="1:1" x14ac:dyDescent="0.25">
      <c r="A21" t="str">
        <f>IFERROR((INDEX('Product Catalogue'!A:A,SMALL('Product Catalogue'!I:I,ROW(A20)),1)),"")</f>
        <v/>
      </c>
    </row>
    <row r="22" spans="1:1" x14ac:dyDescent="0.25">
      <c r="A22" t="str">
        <f>IFERROR((INDEX('Product Catalogue'!A:A,SMALL('Product Catalogue'!I:I,ROW(A21)),1)),"")</f>
        <v/>
      </c>
    </row>
    <row r="23" spans="1:1" x14ac:dyDescent="0.25">
      <c r="A23" t="str">
        <f>IFERROR((INDEX('Product Catalogue'!A:A,SMALL('Product Catalogue'!I:I,ROW(A22)),1)),"")</f>
        <v/>
      </c>
    </row>
    <row r="24" spans="1:1" x14ac:dyDescent="0.25">
      <c r="A24" t="str">
        <f>IFERROR((INDEX('Product Catalogue'!A:A,SMALL('Product Catalogue'!I:I,ROW(A23)),1)),"")</f>
        <v/>
      </c>
    </row>
    <row r="25" spans="1:1" x14ac:dyDescent="0.25">
      <c r="A25" t="str">
        <f>IFERROR((INDEX('Product Catalogue'!A:A,SMALL('Product Catalogue'!I:I,ROW(A24)),1)),"")</f>
        <v/>
      </c>
    </row>
    <row r="26" spans="1:1" x14ac:dyDescent="0.25">
      <c r="A26" t="str">
        <f>IFERROR((INDEX('Product Catalogue'!A:A,SMALL('Product Catalogue'!I:I,ROW(A25)),1)),"")</f>
        <v/>
      </c>
    </row>
    <row r="27" spans="1:1" x14ac:dyDescent="0.25">
      <c r="A27" t="str">
        <f>IFERROR((INDEX('Product Catalogue'!A:A,SMALL('Product Catalogue'!I:I,ROW(A26)),1)),"")</f>
        <v/>
      </c>
    </row>
    <row r="28" spans="1:1" x14ac:dyDescent="0.25">
      <c r="A28" t="str">
        <f>IFERROR((INDEX('Product Catalogue'!A:A,SMALL('Product Catalogue'!I:I,ROW(A27)),1)),"")</f>
        <v/>
      </c>
    </row>
    <row r="29" spans="1:1" x14ac:dyDescent="0.25">
      <c r="A29" t="str">
        <f>IFERROR((INDEX('Product Catalogue'!A:A,SMALL('Product Catalogue'!I:I,ROW(A28)),1)),"")</f>
        <v/>
      </c>
    </row>
    <row r="30" spans="1:1" x14ac:dyDescent="0.25">
      <c r="A30" t="str">
        <f>IFERROR((INDEX('Product Catalogue'!A:A,SMALL('Product Catalogue'!I:I,ROW(A29)),1)),"")</f>
        <v/>
      </c>
    </row>
    <row r="31" spans="1:1" x14ac:dyDescent="0.25">
      <c r="A31" t="str">
        <f>IFERROR((INDEX('Product Catalogue'!A:A,SMALL('Product Catalogue'!I:I,ROW(A30)),1)),"")</f>
        <v/>
      </c>
    </row>
    <row r="32" spans="1:1" x14ac:dyDescent="0.25">
      <c r="A32" t="str">
        <f>IFERROR((INDEX('Product Catalogue'!A:A,SMALL('Product Catalogue'!I:I,ROW(A31)),1)),"")</f>
        <v/>
      </c>
    </row>
    <row r="33" spans="1:1" x14ac:dyDescent="0.25">
      <c r="A33" t="str">
        <f>IFERROR((INDEX('Product Catalogue'!A:A,SMALL('Product Catalogue'!I:I,ROW(A32)),1)),"")</f>
        <v/>
      </c>
    </row>
    <row r="34" spans="1:1" x14ac:dyDescent="0.25">
      <c r="A34" t="str">
        <f>IFERROR((INDEX('Product Catalogue'!A:A,SMALL('Product Catalogue'!I:I,ROW(A33)),1)),"")</f>
        <v/>
      </c>
    </row>
    <row r="35" spans="1:1" x14ac:dyDescent="0.25">
      <c r="A35" t="str">
        <f>IFERROR((INDEX('Product Catalogue'!A:A,SMALL('Product Catalogue'!I:I,ROW(A34)),1)),"")</f>
        <v/>
      </c>
    </row>
    <row r="36" spans="1:1" x14ac:dyDescent="0.25">
      <c r="A36" t="str">
        <f>IFERROR((INDEX('Product Catalogue'!A:A,SMALL('Product Catalogue'!I:I,ROW(A35)),1)),"")</f>
        <v/>
      </c>
    </row>
    <row r="37" spans="1:1" x14ac:dyDescent="0.25">
      <c r="A37" t="str">
        <f>IFERROR((INDEX('Product Catalogue'!A:A,SMALL('Product Catalogue'!I:I,ROW(A36)),1)),"")</f>
        <v/>
      </c>
    </row>
    <row r="38" spans="1:1" x14ac:dyDescent="0.25">
      <c r="A38" t="str">
        <f>IFERROR((INDEX('Product Catalogue'!A:A,SMALL('Product Catalogue'!I:I,ROW(A37)),1)),"")</f>
        <v/>
      </c>
    </row>
    <row r="39" spans="1:1" x14ac:dyDescent="0.25">
      <c r="A39" t="str">
        <f>IFERROR((INDEX('Product Catalogue'!A:A,SMALL('Product Catalogue'!I:I,ROW(A38)),1)),"")</f>
        <v/>
      </c>
    </row>
    <row r="40" spans="1:1" x14ac:dyDescent="0.25">
      <c r="A40" t="str">
        <f>IFERROR((INDEX('Product Catalogue'!A:A,SMALL('Product Catalogue'!I:I,ROW(A39)),1)),"")</f>
        <v/>
      </c>
    </row>
    <row r="41" spans="1:1" x14ac:dyDescent="0.25">
      <c r="A41" t="str">
        <f>IFERROR((INDEX('Product Catalogue'!A:A,SMALL('Product Catalogue'!I:I,ROW(A40)),1)),"")</f>
        <v/>
      </c>
    </row>
    <row r="42" spans="1:1" x14ac:dyDescent="0.25">
      <c r="A42" t="str">
        <f>IFERROR((INDEX('Product Catalogue'!A:A,SMALL('Product Catalogue'!I:I,ROW(A41)),1)),"")</f>
        <v/>
      </c>
    </row>
    <row r="43" spans="1:1" x14ac:dyDescent="0.25">
      <c r="A43" t="str">
        <f>IFERROR((INDEX('Product Catalogue'!A:A,SMALL('Product Catalogue'!I:I,ROW(A42)),1)),"")</f>
        <v/>
      </c>
    </row>
    <row r="44" spans="1:1" x14ac:dyDescent="0.25">
      <c r="A44" t="str">
        <f>IFERROR((INDEX('Product Catalogue'!A:A,SMALL('Product Catalogue'!I:I,ROW(A43)),1)),"")</f>
        <v/>
      </c>
    </row>
    <row r="45" spans="1:1" x14ac:dyDescent="0.25">
      <c r="A45" t="str">
        <f>IFERROR((INDEX('Product Catalogue'!A:A,SMALL('Product Catalogue'!I:I,ROW(A44)),1)),"")</f>
        <v/>
      </c>
    </row>
    <row r="46" spans="1:1" x14ac:dyDescent="0.25">
      <c r="A46" t="str">
        <f>IFERROR((INDEX('Product Catalogue'!A:A,SMALL('Product Catalogue'!I:I,ROW(A45)),1)),"")</f>
        <v/>
      </c>
    </row>
    <row r="47" spans="1:1" x14ac:dyDescent="0.25">
      <c r="A47" t="str">
        <f>IFERROR((INDEX('Product Catalogue'!A:A,SMALL('Product Catalogue'!I:I,ROW(A46)),1)),"")</f>
        <v/>
      </c>
    </row>
    <row r="48" spans="1:1" x14ac:dyDescent="0.25">
      <c r="A48" t="str">
        <f>IFERROR((INDEX('Product Catalogue'!A:A,SMALL('Product Catalogue'!I:I,ROW(A47)),1)),"")</f>
        <v/>
      </c>
    </row>
    <row r="49" spans="1:1" x14ac:dyDescent="0.25">
      <c r="A49" t="str">
        <f>IFERROR((INDEX('Product Catalogue'!A:A,SMALL('Product Catalogue'!I:I,ROW(A48)),1)),"")</f>
        <v/>
      </c>
    </row>
    <row r="50" spans="1:1" x14ac:dyDescent="0.25">
      <c r="A50" t="str">
        <f>IFERROR((INDEX('Product Catalogue'!A:A,SMALL('Product Catalogue'!I:I,ROW(A49)),1)),"")</f>
        <v/>
      </c>
    </row>
    <row r="51" spans="1:1" x14ac:dyDescent="0.25">
      <c r="A51" t="str">
        <f>IFERROR((INDEX('Product Catalogue'!A:A,SMALL('Product Catalogue'!I:I,ROW(A50)),1)),"")</f>
        <v/>
      </c>
    </row>
    <row r="52" spans="1:1" x14ac:dyDescent="0.25">
      <c r="A52" t="str">
        <f>IFERROR((INDEX('Product Catalogue'!A:A,SMALL('Product Catalogue'!I:I,ROW(A51)),1)),"")</f>
        <v/>
      </c>
    </row>
    <row r="53" spans="1:1" x14ac:dyDescent="0.25">
      <c r="A53" t="str">
        <f>IFERROR((INDEX('Product Catalogue'!A:A,SMALL('Product Catalogue'!I:I,ROW(A52)),1)),"")</f>
        <v/>
      </c>
    </row>
    <row r="54" spans="1:1" x14ac:dyDescent="0.25">
      <c r="A54" t="str">
        <f>IFERROR((INDEX('Product Catalogue'!A:A,SMALL('Product Catalogue'!I:I,ROW(A53)),1)),"")</f>
        <v/>
      </c>
    </row>
    <row r="55" spans="1:1" x14ac:dyDescent="0.25">
      <c r="A55" t="str">
        <f>IFERROR((INDEX('Product Catalogue'!A:A,SMALL('Product Catalogue'!I:I,ROW(A54)),1)),"")</f>
        <v/>
      </c>
    </row>
    <row r="56" spans="1:1" x14ac:dyDescent="0.25">
      <c r="A56" t="str">
        <f>IFERROR((INDEX('Product Catalogue'!A:A,SMALL('Product Catalogue'!I:I,ROW(A55)),1)),"")</f>
        <v/>
      </c>
    </row>
    <row r="57" spans="1:1" x14ac:dyDescent="0.25">
      <c r="A57" t="str">
        <f>IFERROR((INDEX('Product Catalogue'!A:A,SMALL('Product Catalogue'!I:I,ROW(A56)),1)),"")</f>
        <v/>
      </c>
    </row>
    <row r="58" spans="1:1" x14ac:dyDescent="0.25">
      <c r="A58" t="str">
        <f>IFERROR((INDEX('Product Catalogue'!A:A,SMALL('Product Catalogue'!I:I,ROW(A57)),1)),"")</f>
        <v/>
      </c>
    </row>
    <row r="59" spans="1:1" x14ac:dyDescent="0.25">
      <c r="A59" t="str">
        <f>IFERROR((INDEX('Product Catalogue'!A:A,SMALL('Product Catalogue'!I:I,ROW(A58)),1)),"")</f>
        <v/>
      </c>
    </row>
    <row r="60" spans="1:1" x14ac:dyDescent="0.25">
      <c r="A60" t="str">
        <f>IFERROR((INDEX('Product Catalogue'!A:A,SMALL('Product Catalogue'!I:I,ROW(A59)),1)),"")</f>
        <v/>
      </c>
    </row>
    <row r="61" spans="1:1" x14ac:dyDescent="0.25">
      <c r="A61" t="str">
        <f>IFERROR((INDEX('Product Catalogue'!A:A,SMALL('Product Catalogue'!I:I,ROW(A60)),1)),"")</f>
        <v/>
      </c>
    </row>
    <row r="62" spans="1:1" x14ac:dyDescent="0.25">
      <c r="A62" t="str">
        <f>IFERROR((INDEX('Product Catalogue'!A:A,SMALL('Product Catalogue'!I:I,ROW(A61)),1)),"")</f>
        <v/>
      </c>
    </row>
    <row r="63" spans="1:1" x14ac:dyDescent="0.25">
      <c r="A63" t="str">
        <f>IFERROR((INDEX('Product Catalogue'!A:A,SMALL('Product Catalogue'!I:I,ROW(A62)),1)),"")</f>
        <v/>
      </c>
    </row>
    <row r="64" spans="1:1" x14ac:dyDescent="0.25">
      <c r="A64" t="str">
        <f>IFERROR((INDEX('Product Catalogue'!A:A,SMALL('Product Catalogue'!I:I,ROW(A63)),1)),"")</f>
        <v/>
      </c>
    </row>
    <row r="65" spans="1:1" x14ac:dyDescent="0.25">
      <c r="A65" t="str">
        <f>IFERROR((INDEX('Product Catalogue'!A:A,SMALL('Product Catalogue'!I:I,ROW(A64)),1)),"")</f>
        <v/>
      </c>
    </row>
    <row r="66" spans="1:1" x14ac:dyDescent="0.25">
      <c r="A66" t="str">
        <f>IFERROR((INDEX('Product Catalogue'!A:A,SMALL('Product Catalogue'!I:I,ROW(A65)),1)),"")</f>
        <v/>
      </c>
    </row>
    <row r="67" spans="1:1" x14ac:dyDescent="0.25">
      <c r="A67" t="str">
        <f>IFERROR((INDEX('Product Catalogue'!A:A,SMALL('Product Catalogue'!I:I,ROW(A66)),1)),"")</f>
        <v/>
      </c>
    </row>
    <row r="68" spans="1:1" x14ac:dyDescent="0.25">
      <c r="A68" t="str">
        <f>IFERROR((INDEX('Product Catalogue'!A:A,SMALL('Product Catalogue'!I:I,ROW(A67)),1)),"")</f>
        <v/>
      </c>
    </row>
    <row r="69" spans="1:1" x14ac:dyDescent="0.25">
      <c r="A69" t="str">
        <f>IFERROR((INDEX('Product Catalogue'!A:A,SMALL('Product Catalogue'!I:I,ROW(A68)),1)),"")</f>
        <v/>
      </c>
    </row>
    <row r="70" spans="1:1" x14ac:dyDescent="0.25">
      <c r="A70" t="str">
        <f>IFERROR((INDEX('Product Catalogue'!A:A,SMALL('Product Catalogue'!I:I,ROW(A69)),1)),"")</f>
        <v/>
      </c>
    </row>
    <row r="71" spans="1:1" x14ac:dyDescent="0.25">
      <c r="A71" t="str">
        <f>IFERROR((INDEX('Product Catalogue'!A:A,SMALL('Product Catalogue'!I:I,ROW(A70)),1)),"")</f>
        <v/>
      </c>
    </row>
    <row r="72" spans="1:1" x14ac:dyDescent="0.25">
      <c r="A72" t="str">
        <f>IFERROR((INDEX('Product Catalogue'!A:A,SMALL('Product Catalogue'!I:I,ROW(A71)),1)),"")</f>
        <v/>
      </c>
    </row>
    <row r="73" spans="1:1" x14ac:dyDescent="0.25">
      <c r="A73" t="str">
        <f>IFERROR((INDEX('Product Catalogue'!A:A,SMALL('Product Catalogue'!I:I,ROW(A72)),1)),"")</f>
        <v/>
      </c>
    </row>
    <row r="74" spans="1:1" x14ac:dyDescent="0.25">
      <c r="A74" t="str">
        <f>IFERROR((INDEX('Product Catalogue'!A:A,SMALL('Product Catalogue'!I:I,ROW(A73)),1)),"")</f>
        <v/>
      </c>
    </row>
    <row r="75" spans="1:1" x14ac:dyDescent="0.25">
      <c r="A75" t="str">
        <f>IFERROR((INDEX('Product Catalogue'!A:A,SMALL('Product Catalogue'!I:I,ROW(A74)),1)),"")</f>
        <v/>
      </c>
    </row>
    <row r="76" spans="1:1" x14ac:dyDescent="0.25">
      <c r="A76" t="str">
        <f>IFERROR((INDEX('Product Catalogue'!A:A,SMALL('Product Catalogue'!I:I,ROW(A75)),1)),"")</f>
        <v/>
      </c>
    </row>
    <row r="77" spans="1:1" x14ac:dyDescent="0.25">
      <c r="A77" t="str">
        <f>IFERROR((INDEX('Product Catalogue'!A:A,SMALL('Product Catalogue'!I:I,ROW(A76)),1)),"")</f>
        <v/>
      </c>
    </row>
    <row r="78" spans="1:1" x14ac:dyDescent="0.25">
      <c r="A78" t="str">
        <f>IFERROR((INDEX('Product Catalogue'!A:A,SMALL('Product Catalogue'!I:I,ROW(A77)),1)),"")</f>
        <v/>
      </c>
    </row>
    <row r="79" spans="1:1" x14ac:dyDescent="0.25">
      <c r="A79" t="str">
        <f>IFERROR((INDEX('Product Catalogue'!A:A,SMALL('Product Catalogue'!I:I,ROW(A78)),1)),"")</f>
        <v/>
      </c>
    </row>
    <row r="80" spans="1:1" x14ac:dyDescent="0.25">
      <c r="A80" t="str">
        <f>IFERROR((INDEX('Product Catalogue'!A:A,SMALL('Product Catalogue'!I:I,ROW(A79)),1)),"")</f>
        <v/>
      </c>
    </row>
    <row r="81" spans="1:1" x14ac:dyDescent="0.25">
      <c r="A81" t="str">
        <f>IFERROR((INDEX('Product Catalogue'!A:A,SMALL('Product Catalogue'!I:I,ROW(A80)),1)),"")</f>
        <v/>
      </c>
    </row>
    <row r="82" spans="1:1" x14ac:dyDescent="0.25">
      <c r="A82" t="str">
        <f>IFERROR((INDEX('Product Catalogue'!A:A,SMALL('Product Catalogue'!I:I,ROW(A81)),1)),"")</f>
        <v/>
      </c>
    </row>
    <row r="83" spans="1:1" x14ac:dyDescent="0.25">
      <c r="A83" t="str">
        <f>IFERROR((INDEX('Product Catalogue'!A:A,SMALL('Product Catalogue'!I:I,ROW(A82)),1)),"")</f>
        <v/>
      </c>
    </row>
    <row r="84" spans="1:1" x14ac:dyDescent="0.25">
      <c r="A84" t="str">
        <f>IFERROR((INDEX('Product Catalogue'!A:A,SMALL('Product Catalogue'!I:I,ROW(A83)),1)),"")</f>
        <v/>
      </c>
    </row>
    <row r="85" spans="1:1" x14ac:dyDescent="0.25">
      <c r="A85" t="str">
        <f>IFERROR((INDEX('Product Catalogue'!A:A,SMALL('Product Catalogue'!I:I,ROW(A84)),1)),"")</f>
        <v/>
      </c>
    </row>
    <row r="86" spans="1:1" x14ac:dyDescent="0.25">
      <c r="A86" t="str">
        <f>IFERROR((INDEX('Product Catalogue'!A:A,SMALL('Product Catalogue'!I:I,ROW(A85)),1)),"")</f>
        <v/>
      </c>
    </row>
    <row r="87" spans="1:1" x14ac:dyDescent="0.25">
      <c r="A87" t="str">
        <f>IFERROR((INDEX('Product Catalogue'!A:A,SMALL('Product Catalogue'!I:I,ROW(A86)),1)),"")</f>
        <v/>
      </c>
    </row>
    <row r="88" spans="1:1" x14ac:dyDescent="0.25">
      <c r="A88" t="str">
        <f>IFERROR((INDEX('Product Catalogue'!A:A,SMALL('Product Catalogue'!I:I,ROW(A87)),1)),"")</f>
        <v/>
      </c>
    </row>
    <row r="89" spans="1:1" x14ac:dyDescent="0.25">
      <c r="A89" t="str">
        <f>IFERROR((INDEX('Product Catalogue'!A:A,SMALL('Product Catalogue'!I:I,ROW(A88)),1)),"")</f>
        <v/>
      </c>
    </row>
    <row r="90" spans="1:1" x14ac:dyDescent="0.25">
      <c r="A90" t="str">
        <f>IFERROR((INDEX('Product Catalogue'!A:A,SMALL('Product Catalogue'!I:I,ROW(A89)),1)),"")</f>
        <v/>
      </c>
    </row>
    <row r="91" spans="1:1" x14ac:dyDescent="0.25">
      <c r="A91" t="str">
        <f>IFERROR((INDEX('Product Catalogue'!A:A,SMALL('Product Catalogue'!I:I,ROW(A90)),1)),"")</f>
        <v/>
      </c>
    </row>
    <row r="92" spans="1:1" x14ac:dyDescent="0.25">
      <c r="A92" t="str">
        <f>IFERROR((INDEX('Product Catalogue'!A:A,SMALL('Product Catalogue'!I:I,ROW(A91)),1)),"")</f>
        <v/>
      </c>
    </row>
    <row r="93" spans="1:1" x14ac:dyDescent="0.25">
      <c r="A93" t="str">
        <f>IFERROR((INDEX('Product Catalogue'!A:A,SMALL('Product Catalogue'!I:I,ROW(A92)),1)),"")</f>
        <v/>
      </c>
    </row>
    <row r="94" spans="1:1" x14ac:dyDescent="0.25">
      <c r="A94" t="str">
        <f>IFERROR((INDEX('Product Catalogue'!A:A,SMALL('Product Catalogue'!I:I,ROW(A93)),1)),"")</f>
        <v/>
      </c>
    </row>
    <row r="95" spans="1:1" x14ac:dyDescent="0.25">
      <c r="A95" t="str">
        <f>IFERROR((INDEX('Product Catalogue'!A:A,SMALL('Product Catalogue'!I:I,ROW(A94)),1)),"")</f>
        <v/>
      </c>
    </row>
    <row r="96" spans="1:1" x14ac:dyDescent="0.25">
      <c r="A96" t="str">
        <f>IFERROR((INDEX('Product Catalogue'!A:A,SMALL('Product Catalogue'!I:I,ROW(A95)),1)),"")</f>
        <v/>
      </c>
    </row>
    <row r="97" spans="1:1" x14ac:dyDescent="0.25">
      <c r="A97" t="str">
        <f>IFERROR((INDEX('Product Catalogue'!A:A,SMALL('Product Catalogue'!I:I,ROW(A96)),1)),"")</f>
        <v/>
      </c>
    </row>
    <row r="98" spans="1:1" x14ac:dyDescent="0.25">
      <c r="A98" t="str">
        <f>IFERROR((INDEX('Product Catalogue'!A:A,SMALL('Product Catalogue'!I:I,ROW(A97)),1)),"")</f>
        <v/>
      </c>
    </row>
    <row r="99" spans="1:1" x14ac:dyDescent="0.25">
      <c r="A99" t="str">
        <f>IFERROR((INDEX('Product Catalogue'!A:A,SMALL('Product Catalogue'!I:I,ROW(A98)),1)),"")</f>
        <v/>
      </c>
    </row>
    <row r="100" spans="1:1" x14ac:dyDescent="0.25">
      <c r="A100" t="str">
        <f>IFERROR((INDEX('Product Catalogue'!A:A,SMALL('Product Catalogue'!I:I,ROW(A99)),1)),"")</f>
        <v/>
      </c>
    </row>
    <row r="101" spans="1:1" x14ac:dyDescent="0.25">
      <c r="A101" t="str">
        <f>IFERROR((INDEX('Product Catalogue'!A:A,SMALL('Product Catalogue'!I:I,ROW(A100)),1)),"")</f>
        <v/>
      </c>
    </row>
    <row r="102" spans="1:1" x14ac:dyDescent="0.25">
      <c r="A102" t="str">
        <f>IFERROR((INDEX('Product Catalogue'!A:A,SMALL('Product Catalogue'!I:I,ROW(A101)),1)),"")</f>
        <v/>
      </c>
    </row>
    <row r="103" spans="1:1" x14ac:dyDescent="0.25">
      <c r="A103" t="str">
        <f>IFERROR((INDEX('Product Catalogue'!A:A,SMALL('Product Catalogue'!I:I,ROW(A102)),1)),"")</f>
        <v/>
      </c>
    </row>
    <row r="104" spans="1:1" x14ac:dyDescent="0.25">
      <c r="A104" t="str">
        <f>IFERROR((INDEX('Product Catalogue'!A:A,SMALL('Product Catalogue'!I:I,ROW(A103)),1)),"")</f>
        <v/>
      </c>
    </row>
    <row r="105" spans="1:1" x14ac:dyDescent="0.25">
      <c r="A105" t="str">
        <f>IFERROR((INDEX('Product Catalogue'!A:A,SMALL('Product Catalogue'!I:I,ROW(A104)),1)),"")</f>
        <v/>
      </c>
    </row>
    <row r="106" spans="1:1" x14ac:dyDescent="0.25">
      <c r="A106" t="str">
        <f>IFERROR((INDEX('Product Catalogue'!A:A,SMALL('Product Catalogue'!I:I,ROW(A105)),1)),"")</f>
        <v/>
      </c>
    </row>
    <row r="107" spans="1:1" x14ac:dyDescent="0.25">
      <c r="A107" t="str">
        <f>IFERROR((INDEX('Product Catalogue'!A:A,SMALL('Product Catalogue'!I:I,ROW(A106)),1)),"")</f>
        <v/>
      </c>
    </row>
    <row r="108" spans="1:1" x14ac:dyDescent="0.25">
      <c r="A108" t="str">
        <f>IFERROR((INDEX('Product Catalogue'!A:A,SMALL('Product Catalogue'!I:I,ROW(A107)),1)),"")</f>
        <v/>
      </c>
    </row>
    <row r="109" spans="1:1" x14ac:dyDescent="0.25">
      <c r="A109" t="str">
        <f>IFERROR((INDEX('Product Catalogue'!A:A,SMALL('Product Catalogue'!I:I,ROW(A108)),1)),"")</f>
        <v/>
      </c>
    </row>
    <row r="110" spans="1:1" x14ac:dyDescent="0.25">
      <c r="A110" t="str">
        <f>IFERROR((INDEX('Product Catalogue'!A:A,SMALL('Product Catalogue'!I:I,ROW(A109)),1)),"")</f>
        <v/>
      </c>
    </row>
    <row r="111" spans="1:1" x14ac:dyDescent="0.25">
      <c r="A111" t="str">
        <f>IFERROR((INDEX('Product Catalogue'!A:A,SMALL('Product Catalogue'!I:I,ROW(A110)),1)),"")</f>
        <v/>
      </c>
    </row>
    <row r="112" spans="1:1" x14ac:dyDescent="0.25">
      <c r="A112" t="str">
        <f>IFERROR((INDEX('Product Catalogue'!A:A,SMALL('Product Catalogue'!I:I,ROW(A111)),1)),"")</f>
        <v/>
      </c>
    </row>
    <row r="113" spans="1:1" x14ac:dyDescent="0.25">
      <c r="A113" t="str">
        <f>IFERROR((INDEX('Product Catalogue'!A:A,SMALL('Product Catalogue'!I:I,ROW(A112)),1)),"")</f>
        <v/>
      </c>
    </row>
    <row r="114" spans="1:1" x14ac:dyDescent="0.25">
      <c r="A114" t="str">
        <f>IFERROR((INDEX('Product Catalogue'!A:A,SMALL('Product Catalogue'!I:I,ROW(A113)),1)),"")</f>
        <v/>
      </c>
    </row>
    <row r="115" spans="1:1" x14ac:dyDescent="0.25">
      <c r="A115" t="str">
        <f>IFERROR((INDEX('Product Catalogue'!A:A,SMALL('Product Catalogue'!I:I,ROW(A114)),1)),"")</f>
        <v/>
      </c>
    </row>
    <row r="116" spans="1:1" x14ac:dyDescent="0.25">
      <c r="A116" t="str">
        <f>IFERROR((INDEX('Product Catalogue'!A:A,SMALL('Product Catalogue'!I:I,ROW(A115)),1)),"")</f>
        <v/>
      </c>
    </row>
    <row r="117" spans="1:1" x14ac:dyDescent="0.25">
      <c r="A117" t="str">
        <f>IFERROR((INDEX('Product Catalogue'!A:A,SMALL('Product Catalogue'!I:I,ROW(A116)),1)),"")</f>
        <v/>
      </c>
    </row>
    <row r="118" spans="1:1" x14ac:dyDescent="0.25">
      <c r="A118" t="str">
        <f>IFERROR((INDEX('Product Catalogue'!A:A,SMALL('Product Catalogue'!I:I,ROW(A117)),1)),"")</f>
        <v/>
      </c>
    </row>
    <row r="119" spans="1:1" x14ac:dyDescent="0.25">
      <c r="A119" t="str">
        <f>IFERROR((INDEX('Product Catalogue'!A:A,SMALL('Product Catalogue'!I:I,ROW(A118)),1)),"")</f>
        <v/>
      </c>
    </row>
    <row r="120" spans="1:1" x14ac:dyDescent="0.25">
      <c r="A120" t="str">
        <f>IFERROR((INDEX('Product Catalogue'!A:A,SMALL('Product Catalogue'!I:I,ROW(A119)),1)),"")</f>
        <v/>
      </c>
    </row>
    <row r="121" spans="1:1" x14ac:dyDescent="0.25">
      <c r="A121" t="str">
        <f>IFERROR((INDEX('Product Catalogue'!A:A,SMALL('Product Catalogue'!I:I,ROW(A120)),1)),"")</f>
        <v/>
      </c>
    </row>
    <row r="122" spans="1:1" x14ac:dyDescent="0.25">
      <c r="A122" t="str">
        <f>IFERROR((INDEX('Product Catalogue'!A:A,SMALL('Product Catalogue'!I:I,ROW(A121)),1)),"")</f>
        <v/>
      </c>
    </row>
    <row r="123" spans="1:1" x14ac:dyDescent="0.25">
      <c r="A123" t="str">
        <f>IFERROR((INDEX('Product Catalogue'!A:A,SMALL('Product Catalogue'!I:I,ROW(A122)),1)),"")</f>
        <v/>
      </c>
    </row>
    <row r="124" spans="1:1" x14ac:dyDescent="0.25">
      <c r="A124" t="str">
        <f>IFERROR((INDEX('Product Catalogue'!A:A,SMALL('Product Catalogue'!I:I,ROW(A123)),1)),"")</f>
        <v/>
      </c>
    </row>
    <row r="125" spans="1:1" x14ac:dyDescent="0.25">
      <c r="A125" t="str">
        <f>IFERROR((INDEX('Product Catalogue'!A:A,SMALL('Product Catalogue'!I:I,ROW(A124)),1)),"")</f>
        <v/>
      </c>
    </row>
    <row r="126" spans="1:1" x14ac:dyDescent="0.25">
      <c r="A126" t="str">
        <f>IFERROR((INDEX('Product Catalogue'!A:A,SMALL('Product Catalogue'!I:I,ROW(A125)),1)),"")</f>
        <v/>
      </c>
    </row>
    <row r="127" spans="1:1" x14ac:dyDescent="0.25">
      <c r="A127" t="str">
        <f>IFERROR((INDEX('Product Catalogue'!A:A,SMALL('Product Catalogue'!I:I,ROW(A126)),1)),"")</f>
        <v/>
      </c>
    </row>
    <row r="128" spans="1:1" x14ac:dyDescent="0.25">
      <c r="A128" t="str">
        <f>IFERROR((INDEX('Product Catalogue'!A:A,SMALL('Product Catalogue'!I:I,ROW(A127)),1)),"")</f>
        <v/>
      </c>
    </row>
    <row r="129" spans="1:1" x14ac:dyDescent="0.25">
      <c r="A129" t="str">
        <f>IFERROR((INDEX('Product Catalogue'!A:A,SMALL('Product Catalogue'!I:I,ROW(A128)),1)),"")</f>
        <v/>
      </c>
    </row>
    <row r="130" spans="1:1" x14ac:dyDescent="0.25">
      <c r="A130" t="str">
        <f>IFERROR((INDEX('Product Catalogue'!A:A,SMALL('Product Catalogue'!I:I,ROW(A129)),1)),"")</f>
        <v/>
      </c>
    </row>
    <row r="131" spans="1:1" x14ac:dyDescent="0.25">
      <c r="A131" t="str">
        <f>IFERROR((INDEX('Product Catalogue'!A:A,SMALL('Product Catalogue'!I:I,ROW(A130)),1)),"")</f>
        <v/>
      </c>
    </row>
    <row r="132" spans="1:1" x14ac:dyDescent="0.25">
      <c r="A132" t="str">
        <f>IFERROR((INDEX('Product Catalogue'!A:A,SMALL('Product Catalogue'!I:I,ROW(A131)),1)),"")</f>
        <v/>
      </c>
    </row>
    <row r="133" spans="1:1" x14ac:dyDescent="0.25">
      <c r="A133" t="str">
        <f>IFERROR((INDEX('Product Catalogue'!A:A,SMALL('Product Catalogue'!I:I,ROW(A132)),1)),"")</f>
        <v/>
      </c>
    </row>
    <row r="134" spans="1:1" x14ac:dyDescent="0.25">
      <c r="A134" t="str">
        <f>IFERROR((INDEX('Product Catalogue'!A:A,SMALL('Product Catalogue'!I:I,ROW(A133)),1)),"")</f>
        <v/>
      </c>
    </row>
    <row r="135" spans="1:1" x14ac:dyDescent="0.25">
      <c r="A135" t="str">
        <f>IFERROR((INDEX('Product Catalogue'!A:A,SMALL('Product Catalogue'!I:I,ROW(A134)),1)),"")</f>
        <v/>
      </c>
    </row>
    <row r="136" spans="1:1" x14ac:dyDescent="0.25">
      <c r="A136" t="str">
        <f>IFERROR((INDEX('Product Catalogue'!A:A,SMALL('Product Catalogue'!I:I,ROW(A135)),1)),"")</f>
        <v/>
      </c>
    </row>
    <row r="137" spans="1:1" x14ac:dyDescent="0.25">
      <c r="A137" t="str">
        <f>IFERROR((INDEX('Product Catalogue'!A:A,SMALL('Product Catalogue'!I:I,ROW(A136)),1)),"")</f>
        <v/>
      </c>
    </row>
    <row r="138" spans="1:1" x14ac:dyDescent="0.25">
      <c r="A138" t="str">
        <f>IFERROR((INDEX('Product Catalogue'!A:A,SMALL('Product Catalogue'!I:I,ROW(A137)),1)),"")</f>
        <v/>
      </c>
    </row>
    <row r="139" spans="1:1" x14ac:dyDescent="0.25">
      <c r="A139" t="str">
        <f>IFERROR((INDEX('Product Catalogue'!A:A,SMALL('Product Catalogue'!I:I,ROW(A138)),1)),"")</f>
        <v/>
      </c>
    </row>
    <row r="140" spans="1:1" x14ac:dyDescent="0.25">
      <c r="A140" t="str">
        <f>IFERROR((INDEX('Product Catalogue'!A:A,SMALL('Product Catalogue'!I:I,ROW(A139)),1)),"")</f>
        <v/>
      </c>
    </row>
    <row r="141" spans="1:1" x14ac:dyDescent="0.25">
      <c r="A141" t="str">
        <f>IFERROR((INDEX('Product Catalogue'!A:A,SMALL('Product Catalogue'!I:I,ROW(A140)),1)),"")</f>
        <v/>
      </c>
    </row>
    <row r="142" spans="1:1" x14ac:dyDescent="0.25">
      <c r="A142" t="str">
        <f>IFERROR((INDEX('Product Catalogue'!A:A,SMALL('Product Catalogue'!I:I,ROW(A141)),1)),"")</f>
        <v/>
      </c>
    </row>
    <row r="143" spans="1:1" x14ac:dyDescent="0.25">
      <c r="A143" t="str">
        <f>IFERROR((INDEX('Product Catalogue'!A:A,SMALL('Product Catalogue'!I:I,ROW(A142)),1)),"")</f>
        <v/>
      </c>
    </row>
    <row r="144" spans="1:1" x14ac:dyDescent="0.25">
      <c r="A144" t="str">
        <f>IFERROR((INDEX('Product Catalogue'!A:A,SMALL('Product Catalogue'!I:I,ROW(A143)),1)),"")</f>
        <v/>
      </c>
    </row>
    <row r="145" spans="1:1" x14ac:dyDescent="0.25">
      <c r="A145" t="str">
        <f>IFERROR((INDEX('Product Catalogue'!A:A,SMALL('Product Catalogue'!I:I,ROW(A144)),1)),"")</f>
        <v/>
      </c>
    </row>
    <row r="146" spans="1:1" x14ac:dyDescent="0.25">
      <c r="A146" t="str">
        <f>IFERROR((INDEX('Product Catalogue'!A:A,SMALL('Product Catalogue'!I:I,ROW(A145)),1)),"")</f>
        <v/>
      </c>
    </row>
    <row r="147" spans="1:1" x14ac:dyDescent="0.25">
      <c r="A147" t="str">
        <f>IFERROR((INDEX('Product Catalogue'!A:A,SMALL('Product Catalogue'!I:I,ROW(A146)),1)),"")</f>
        <v/>
      </c>
    </row>
    <row r="148" spans="1:1" x14ac:dyDescent="0.25">
      <c r="A148" t="str">
        <f>IFERROR((INDEX('Product Catalogue'!A:A,SMALL('Product Catalogue'!I:I,ROW(A147)),1)),"")</f>
        <v/>
      </c>
    </row>
    <row r="149" spans="1:1" x14ac:dyDescent="0.25">
      <c r="A149" t="str">
        <f>IFERROR((INDEX('Product Catalogue'!A:A,SMALL('Product Catalogue'!I:I,ROW(A148)),1)),"")</f>
        <v/>
      </c>
    </row>
    <row r="150" spans="1:1" x14ac:dyDescent="0.25">
      <c r="A150" t="str">
        <f>IFERROR((INDEX('Product Catalogue'!A:A,SMALL('Product Catalogue'!I:I,ROW(A149)),1)),"")</f>
        <v/>
      </c>
    </row>
    <row r="151" spans="1:1" x14ac:dyDescent="0.25">
      <c r="A151" t="str">
        <f>IFERROR((INDEX('Product Catalogue'!A:A,SMALL('Product Catalogue'!I:I,ROW(A150)),1)),"")</f>
        <v/>
      </c>
    </row>
    <row r="152" spans="1:1" x14ac:dyDescent="0.25">
      <c r="A152" t="str">
        <f>IFERROR((INDEX('Product Catalogue'!A:A,SMALL('Product Catalogue'!I:I,ROW(A151)),1)),"")</f>
        <v/>
      </c>
    </row>
    <row r="153" spans="1:1" x14ac:dyDescent="0.25">
      <c r="A153" t="str">
        <f>IFERROR((INDEX('Product Catalogue'!A:A,SMALL('Product Catalogue'!I:I,ROW(A152)),1)),"")</f>
        <v/>
      </c>
    </row>
    <row r="154" spans="1:1" x14ac:dyDescent="0.25">
      <c r="A154" t="str">
        <f>IFERROR((INDEX('Product Catalogue'!A:A,SMALL('Product Catalogue'!I:I,ROW(A153)),1)),"")</f>
        <v/>
      </c>
    </row>
    <row r="155" spans="1:1" x14ac:dyDescent="0.25">
      <c r="A155" t="str">
        <f>IFERROR((INDEX('Product Catalogue'!A:A,SMALL('Product Catalogue'!I:I,ROW(A154)),1)),"")</f>
        <v/>
      </c>
    </row>
    <row r="156" spans="1:1" x14ac:dyDescent="0.25">
      <c r="A156" t="str">
        <f>IFERROR((INDEX('Product Catalogue'!A:A,SMALL('Product Catalogue'!I:I,ROW(A155)),1)),"")</f>
        <v/>
      </c>
    </row>
    <row r="157" spans="1:1" x14ac:dyDescent="0.25">
      <c r="A157" t="str">
        <f>IFERROR((INDEX('Product Catalogue'!A:A,SMALL('Product Catalogue'!I:I,ROW(A156)),1)),"")</f>
        <v/>
      </c>
    </row>
    <row r="158" spans="1:1" x14ac:dyDescent="0.25">
      <c r="A158" t="str">
        <f>IFERROR((INDEX('Product Catalogue'!A:A,SMALL('Product Catalogue'!I:I,ROW(A157)),1)),"")</f>
        <v/>
      </c>
    </row>
    <row r="159" spans="1:1" x14ac:dyDescent="0.25">
      <c r="A159" t="str">
        <f>IFERROR((INDEX('Product Catalogue'!A:A,SMALL('Product Catalogue'!I:I,ROW(A158)),1)),"")</f>
        <v/>
      </c>
    </row>
    <row r="160" spans="1:1" x14ac:dyDescent="0.25">
      <c r="A160" t="str">
        <f>IFERROR((INDEX('Product Catalogue'!A:A,SMALL('Product Catalogue'!I:I,ROW(A159)),1)),"")</f>
        <v/>
      </c>
    </row>
    <row r="161" spans="1:1" x14ac:dyDescent="0.25">
      <c r="A161" t="str">
        <f>IFERROR((INDEX('Product Catalogue'!A:A,SMALL('Product Catalogue'!I:I,ROW(A160)),1)),"")</f>
        <v/>
      </c>
    </row>
    <row r="162" spans="1:1" x14ac:dyDescent="0.25">
      <c r="A162" t="str">
        <f>IFERROR((INDEX('Product Catalogue'!A:A,SMALL('Product Catalogue'!I:I,ROW(A161)),1)),"")</f>
        <v/>
      </c>
    </row>
    <row r="163" spans="1:1" x14ac:dyDescent="0.25">
      <c r="A163" t="str">
        <f>IFERROR((INDEX('Product Catalogue'!A:A,SMALL('Product Catalogue'!I:I,ROW(A162)),1)),"")</f>
        <v/>
      </c>
    </row>
    <row r="164" spans="1:1" x14ac:dyDescent="0.25">
      <c r="A164" t="str">
        <f>IFERROR((INDEX('Product Catalogue'!A:A,SMALL('Product Catalogue'!I:I,ROW(A163)),1)),"")</f>
        <v/>
      </c>
    </row>
    <row r="165" spans="1:1" x14ac:dyDescent="0.25">
      <c r="A165" t="str">
        <f>IFERROR((INDEX('Product Catalogue'!A:A,SMALL('Product Catalogue'!I:I,ROW(A164)),1)),"")</f>
        <v/>
      </c>
    </row>
    <row r="166" spans="1:1" x14ac:dyDescent="0.25">
      <c r="A166" t="str">
        <f>IFERROR((INDEX('Product Catalogue'!A:A,SMALL('Product Catalogue'!I:I,ROW(A165)),1)),"")</f>
        <v/>
      </c>
    </row>
    <row r="167" spans="1:1" x14ac:dyDescent="0.25">
      <c r="A167" t="str">
        <f>IFERROR((INDEX('Product Catalogue'!A:A,SMALL('Product Catalogue'!I:I,ROW(A166)),1)),"")</f>
        <v/>
      </c>
    </row>
    <row r="168" spans="1:1" x14ac:dyDescent="0.25">
      <c r="A168" t="str">
        <f>IFERROR((INDEX('Product Catalogue'!A:A,SMALL('Product Catalogue'!I:I,ROW(A167)),1)),"")</f>
        <v/>
      </c>
    </row>
    <row r="169" spans="1:1" x14ac:dyDescent="0.25">
      <c r="A169" t="str">
        <f>IFERROR((INDEX('Product Catalogue'!A:A,SMALL('Product Catalogue'!I:I,ROW(A168)),1)),"")</f>
        <v/>
      </c>
    </row>
    <row r="170" spans="1:1" x14ac:dyDescent="0.25">
      <c r="A170" t="str">
        <f>IFERROR((INDEX('Product Catalogue'!A:A,SMALL('Product Catalogue'!I:I,ROW(A169)),1)),"")</f>
        <v/>
      </c>
    </row>
    <row r="171" spans="1:1" x14ac:dyDescent="0.25">
      <c r="A171" t="str">
        <f>IFERROR((INDEX('Product Catalogue'!A:A,SMALL('Product Catalogue'!I:I,ROW(A170)),1)),"")</f>
        <v/>
      </c>
    </row>
    <row r="172" spans="1:1" x14ac:dyDescent="0.25">
      <c r="A172" t="str">
        <f>IFERROR((INDEX('Product Catalogue'!A:A,SMALL('Product Catalogue'!I:I,ROW(A171)),1)),"")</f>
        <v/>
      </c>
    </row>
    <row r="173" spans="1:1" x14ac:dyDescent="0.25">
      <c r="A173" t="str">
        <f>IFERROR((INDEX('Product Catalogue'!A:A,SMALL('Product Catalogue'!I:I,ROW(A172)),1)),"")</f>
        <v/>
      </c>
    </row>
    <row r="174" spans="1:1" x14ac:dyDescent="0.25">
      <c r="A174" t="str">
        <f>IFERROR((INDEX('Product Catalogue'!A:A,SMALL('Product Catalogue'!I:I,ROW(A173)),1)),"")</f>
        <v/>
      </c>
    </row>
    <row r="175" spans="1:1" x14ac:dyDescent="0.25">
      <c r="A175" t="str">
        <f>IFERROR((INDEX('Product Catalogue'!A:A,SMALL('Product Catalogue'!I:I,ROW(A174)),1)),"")</f>
        <v/>
      </c>
    </row>
    <row r="176" spans="1:1" x14ac:dyDescent="0.25">
      <c r="A176" t="str">
        <f>IFERROR((INDEX('Product Catalogue'!A:A,SMALL('Product Catalogue'!I:I,ROW(A175)),1)),"")</f>
        <v/>
      </c>
    </row>
    <row r="177" spans="1:1" x14ac:dyDescent="0.25">
      <c r="A177" t="str">
        <f>IFERROR((INDEX('Product Catalogue'!A:A,SMALL('Product Catalogue'!I:I,ROW(A176)),1)),"")</f>
        <v/>
      </c>
    </row>
    <row r="178" spans="1:1" x14ac:dyDescent="0.25">
      <c r="A178" t="str">
        <f>IFERROR((INDEX('Product Catalogue'!A:A,SMALL('Product Catalogue'!I:I,ROW(A177)),1)),"")</f>
        <v/>
      </c>
    </row>
    <row r="179" spans="1:1" x14ac:dyDescent="0.25">
      <c r="A179" t="str">
        <f>IFERROR((INDEX('Product Catalogue'!A:A,SMALL('Product Catalogue'!I:I,ROW(A178)),1)),"")</f>
        <v/>
      </c>
    </row>
    <row r="180" spans="1:1" x14ac:dyDescent="0.25">
      <c r="A180" t="str">
        <f>IFERROR((INDEX('Product Catalogue'!A:A,SMALL('Product Catalogue'!I:I,ROW(A179)),1)),"")</f>
        <v/>
      </c>
    </row>
    <row r="181" spans="1:1" x14ac:dyDescent="0.25">
      <c r="A181" t="str">
        <f>IFERROR((INDEX('Product Catalogue'!A:A,SMALL('Product Catalogue'!I:I,ROW(A180)),1)),"")</f>
        <v/>
      </c>
    </row>
    <row r="182" spans="1:1" x14ac:dyDescent="0.25">
      <c r="A182" t="str">
        <f>IFERROR((INDEX('Product Catalogue'!A:A,SMALL('Product Catalogue'!I:I,ROW(A181)),1)),"")</f>
        <v/>
      </c>
    </row>
    <row r="183" spans="1:1" x14ac:dyDescent="0.25">
      <c r="A183" t="str">
        <f>IFERROR((INDEX('Product Catalogue'!A:A,SMALL('Product Catalogue'!I:I,ROW(A182)),1)),"")</f>
        <v/>
      </c>
    </row>
    <row r="184" spans="1:1" x14ac:dyDescent="0.25">
      <c r="A184" t="str">
        <f>IFERROR((INDEX('Product Catalogue'!A:A,SMALL('Product Catalogue'!I:I,ROW(A183)),1)),"")</f>
        <v/>
      </c>
    </row>
    <row r="185" spans="1:1" x14ac:dyDescent="0.25">
      <c r="A185" t="str">
        <f>IFERROR((INDEX('Product Catalogue'!A:A,SMALL('Product Catalogue'!I:I,ROW(A184)),1)),"")</f>
        <v/>
      </c>
    </row>
    <row r="186" spans="1:1" x14ac:dyDescent="0.25">
      <c r="A186" t="str">
        <f>IFERROR((INDEX('Product Catalogue'!A:A,SMALL('Product Catalogue'!I:I,ROW(A185)),1)),"")</f>
        <v/>
      </c>
    </row>
    <row r="187" spans="1:1" x14ac:dyDescent="0.25">
      <c r="A187" t="str">
        <f>IFERROR((INDEX('Product Catalogue'!A:A,SMALL('Product Catalogue'!I:I,ROW(A186)),1)),"")</f>
        <v/>
      </c>
    </row>
    <row r="188" spans="1:1" x14ac:dyDescent="0.25">
      <c r="A188" t="str">
        <f>IFERROR((INDEX('Product Catalogue'!A:A,SMALL('Product Catalogue'!I:I,ROW(A187)),1)),"")</f>
        <v/>
      </c>
    </row>
    <row r="189" spans="1:1" x14ac:dyDescent="0.25">
      <c r="A189" t="str">
        <f>IFERROR((INDEX('Product Catalogue'!A:A,SMALL('Product Catalogue'!I:I,ROW(A188)),1)),"")</f>
        <v/>
      </c>
    </row>
    <row r="190" spans="1:1" x14ac:dyDescent="0.25">
      <c r="A190" t="str">
        <f>IFERROR((INDEX('Product Catalogue'!A:A,SMALL('Product Catalogue'!I:I,ROW(A189)),1)),"")</f>
        <v/>
      </c>
    </row>
    <row r="191" spans="1:1" x14ac:dyDescent="0.25">
      <c r="A191" t="str">
        <f>IFERROR((INDEX('Product Catalogue'!A:A,SMALL('Product Catalogue'!I:I,ROW(A190)),1)),"")</f>
        <v/>
      </c>
    </row>
    <row r="192" spans="1:1" x14ac:dyDescent="0.25">
      <c r="A192" t="str">
        <f>IFERROR((INDEX('Product Catalogue'!A:A,SMALL('Product Catalogue'!I:I,ROW(A191)),1)),"")</f>
        <v/>
      </c>
    </row>
    <row r="193" spans="1:1" x14ac:dyDescent="0.25">
      <c r="A193" t="str">
        <f>IFERROR((INDEX('Product Catalogue'!A:A,SMALL('Product Catalogue'!I:I,ROW(A192)),1)),"")</f>
        <v/>
      </c>
    </row>
    <row r="194" spans="1:1" x14ac:dyDescent="0.25">
      <c r="A194" t="str">
        <f>IFERROR((INDEX('Product Catalogue'!A:A,SMALL('Product Catalogue'!I:I,ROW(A193)),1)),"")</f>
        <v/>
      </c>
    </row>
    <row r="195" spans="1:1" x14ac:dyDescent="0.25">
      <c r="A195" t="str">
        <f>IFERROR((INDEX('Product Catalogue'!A:A,SMALL('Product Catalogue'!I:I,ROW(A194)),1)),"")</f>
        <v/>
      </c>
    </row>
    <row r="196" spans="1:1" x14ac:dyDescent="0.25">
      <c r="A196" t="str">
        <f>IFERROR((INDEX('Product Catalogue'!A:A,SMALL('Product Catalogue'!I:I,ROW(A195)),1)),"")</f>
        <v/>
      </c>
    </row>
    <row r="197" spans="1:1" x14ac:dyDescent="0.25">
      <c r="A197" t="str">
        <f>IFERROR((INDEX('Product Catalogue'!A:A,SMALL('Product Catalogue'!I:I,ROW(A196)),1)),"")</f>
        <v/>
      </c>
    </row>
    <row r="198" spans="1:1" x14ac:dyDescent="0.25">
      <c r="A198" t="str">
        <f>IFERROR((INDEX('Product Catalogue'!A:A,SMALL('Product Catalogue'!I:I,ROW(A197)),1)),"")</f>
        <v/>
      </c>
    </row>
    <row r="199" spans="1:1" x14ac:dyDescent="0.25">
      <c r="A199" t="str">
        <f>IFERROR((INDEX('Product Catalogue'!A:A,SMALL('Product Catalogue'!I:I,ROW(A198)),1)),"")</f>
        <v/>
      </c>
    </row>
    <row r="200" spans="1:1" x14ac:dyDescent="0.25">
      <c r="A200" t="str">
        <f>IFERROR((INDEX('Product Catalogue'!A:A,SMALL('Product Catalogue'!I:I,ROW(A199)),1)),"")</f>
        <v/>
      </c>
    </row>
    <row r="201" spans="1:1" x14ac:dyDescent="0.25">
      <c r="A201" t="str">
        <f>IFERROR((INDEX('Product Catalogue'!A:A,SMALL('Product Catalogue'!I:I,ROW(A200)),1)),"")</f>
        <v/>
      </c>
    </row>
    <row r="202" spans="1:1" x14ac:dyDescent="0.25">
      <c r="A202" t="str">
        <f>IFERROR((INDEX('Product Catalogue'!A:A,SMALL('Product Catalogue'!I:I,ROW(A201)),1)),"")</f>
        <v/>
      </c>
    </row>
    <row r="203" spans="1:1" x14ac:dyDescent="0.25">
      <c r="A203" t="str">
        <f>IFERROR((INDEX('Product Catalogue'!A:A,SMALL('Product Catalogue'!I:I,ROW(A202)),1)),"")</f>
        <v/>
      </c>
    </row>
    <row r="204" spans="1:1" x14ac:dyDescent="0.25">
      <c r="A204" t="str">
        <f>IFERROR((INDEX('Product Catalogue'!A:A,SMALL('Product Catalogue'!I:I,ROW(A203)),1)),"")</f>
        <v/>
      </c>
    </row>
    <row r="205" spans="1:1" x14ac:dyDescent="0.25">
      <c r="A205" t="str">
        <f>IFERROR((INDEX('Product Catalogue'!A:A,SMALL('Product Catalogue'!I:I,ROW(A204)),1)),"")</f>
        <v/>
      </c>
    </row>
    <row r="206" spans="1:1" x14ac:dyDescent="0.25">
      <c r="A206" t="str">
        <f>IFERROR((INDEX('Product Catalogue'!A:A,SMALL('Product Catalogue'!I:I,ROW(A205)),1)),"")</f>
        <v/>
      </c>
    </row>
    <row r="207" spans="1:1" x14ac:dyDescent="0.25">
      <c r="A207" t="str">
        <f>IFERROR((INDEX('Product Catalogue'!A:A,SMALL('Product Catalogue'!I:I,ROW(A206)),1)),"")</f>
        <v/>
      </c>
    </row>
    <row r="208" spans="1:1" x14ac:dyDescent="0.25">
      <c r="A208" t="str">
        <f>IFERROR((INDEX('Product Catalogue'!A:A,SMALL('Product Catalogue'!I:I,ROW(A207)),1)),"")</f>
        <v/>
      </c>
    </row>
    <row r="209" spans="1:1" x14ac:dyDescent="0.25">
      <c r="A209" t="str">
        <f>IFERROR((INDEX('Product Catalogue'!A:A,SMALL('Product Catalogue'!I:I,ROW(A208)),1)),"")</f>
        <v/>
      </c>
    </row>
    <row r="210" spans="1:1" x14ac:dyDescent="0.25">
      <c r="A210" t="str">
        <f>IFERROR((INDEX('Product Catalogue'!A:A,SMALL('Product Catalogue'!I:I,ROW(A209)),1)),"")</f>
        <v/>
      </c>
    </row>
    <row r="211" spans="1:1" x14ac:dyDescent="0.25">
      <c r="A211" t="str">
        <f>IFERROR((INDEX('Product Catalogue'!A:A,SMALL('Product Catalogue'!I:I,ROW(A210)),1)),"")</f>
        <v/>
      </c>
    </row>
    <row r="212" spans="1:1" x14ac:dyDescent="0.25">
      <c r="A212" t="str">
        <f>IFERROR((INDEX('Product Catalogue'!A:A,SMALL('Product Catalogue'!I:I,ROW(A211)),1)),"")</f>
        <v/>
      </c>
    </row>
    <row r="213" spans="1:1" x14ac:dyDescent="0.25">
      <c r="A213" t="str">
        <f>IFERROR((INDEX('Product Catalogue'!A:A,SMALL('Product Catalogue'!I:I,ROW(A212)),1)),"")</f>
        <v/>
      </c>
    </row>
    <row r="214" spans="1:1" x14ac:dyDescent="0.25">
      <c r="A214" t="str">
        <f>IFERROR((INDEX('Product Catalogue'!A:A,SMALL('Product Catalogue'!I:I,ROW(A213)),1)),"")</f>
        <v/>
      </c>
    </row>
    <row r="215" spans="1:1" x14ac:dyDescent="0.25">
      <c r="A215" t="str">
        <f>IFERROR((INDEX('Product Catalogue'!A:A,SMALL('Product Catalogue'!I:I,ROW(A214)),1)),"")</f>
        <v/>
      </c>
    </row>
    <row r="216" spans="1:1" x14ac:dyDescent="0.25">
      <c r="A216" t="str">
        <f>IFERROR((INDEX('Product Catalogue'!A:A,SMALL('Product Catalogue'!I:I,ROW(A215)),1)),"")</f>
        <v/>
      </c>
    </row>
    <row r="217" spans="1:1" x14ac:dyDescent="0.25">
      <c r="A217" t="str">
        <f>IFERROR((INDEX('Product Catalogue'!A:A,SMALL('Product Catalogue'!I:I,ROW(A216)),1)),"")</f>
        <v/>
      </c>
    </row>
    <row r="218" spans="1:1" x14ac:dyDescent="0.25">
      <c r="A218" t="str">
        <f>IFERROR((INDEX('Product Catalogue'!A:A,SMALL('Product Catalogue'!I:I,ROW(A217)),1)),"")</f>
        <v/>
      </c>
    </row>
    <row r="219" spans="1:1" x14ac:dyDescent="0.25">
      <c r="A219" t="str">
        <f>IFERROR((INDEX('Product Catalogue'!A:A,SMALL('Product Catalogue'!I:I,ROW(A218)),1)),"")</f>
        <v/>
      </c>
    </row>
    <row r="220" spans="1:1" x14ac:dyDescent="0.25">
      <c r="A220" t="str">
        <f>IFERROR((INDEX('Product Catalogue'!A:A,SMALL('Product Catalogue'!I:I,ROW(A219)),1)),"")</f>
        <v/>
      </c>
    </row>
    <row r="221" spans="1:1" x14ac:dyDescent="0.25">
      <c r="A221" t="str">
        <f>IFERROR((INDEX('Product Catalogue'!A:A,SMALL('Product Catalogue'!I:I,ROW(A220)),1)),"")</f>
        <v/>
      </c>
    </row>
    <row r="222" spans="1:1" x14ac:dyDescent="0.25">
      <c r="A222" t="str">
        <f>IFERROR((INDEX('Product Catalogue'!A:A,SMALL('Product Catalogue'!I:I,ROW(A221)),1)),"")</f>
        <v/>
      </c>
    </row>
    <row r="223" spans="1:1" x14ac:dyDescent="0.25">
      <c r="A223" t="str">
        <f>IFERROR((INDEX('Product Catalogue'!A:A,SMALL('Product Catalogue'!I:I,ROW(A222)),1)),"")</f>
        <v/>
      </c>
    </row>
    <row r="224" spans="1:1" x14ac:dyDescent="0.25">
      <c r="A224" t="str">
        <f>IFERROR((INDEX('Product Catalogue'!A:A,SMALL('Product Catalogue'!I:I,ROW(A223)),1)),"")</f>
        <v/>
      </c>
    </row>
    <row r="225" spans="1:1" x14ac:dyDescent="0.25">
      <c r="A225" t="str">
        <f>IFERROR((INDEX('Product Catalogue'!A:A,SMALL('Product Catalogue'!I:I,ROW(A224)),1)),"")</f>
        <v/>
      </c>
    </row>
    <row r="226" spans="1:1" x14ac:dyDescent="0.25">
      <c r="A226" t="str">
        <f>IFERROR((INDEX('Product Catalogue'!A:A,SMALL('Product Catalogue'!I:I,ROW(A225)),1)),"")</f>
        <v/>
      </c>
    </row>
    <row r="227" spans="1:1" x14ac:dyDescent="0.25">
      <c r="A227" t="str">
        <f>IFERROR((INDEX('Product Catalogue'!A:A,SMALL('Product Catalogue'!I:I,ROW(A226)),1)),"")</f>
        <v/>
      </c>
    </row>
    <row r="228" spans="1:1" x14ac:dyDescent="0.25">
      <c r="A228" t="str">
        <f>IFERROR((INDEX('Product Catalogue'!A:A,SMALL('Product Catalogue'!I:I,ROW(A227)),1)),"")</f>
        <v/>
      </c>
    </row>
    <row r="229" spans="1:1" x14ac:dyDescent="0.25">
      <c r="A229" t="str">
        <f>IFERROR((INDEX('Product Catalogue'!A:A,SMALL('Product Catalogue'!I:I,ROW(A228)),1)),"")</f>
        <v/>
      </c>
    </row>
    <row r="230" spans="1:1" x14ac:dyDescent="0.25">
      <c r="A230" t="str">
        <f>IFERROR((INDEX('Product Catalogue'!A:A,SMALL('Product Catalogue'!I:I,ROW(A229)),1)),"")</f>
        <v/>
      </c>
    </row>
    <row r="231" spans="1:1" x14ac:dyDescent="0.25">
      <c r="A231" t="str">
        <f>IFERROR((INDEX('Product Catalogue'!A:A,SMALL('Product Catalogue'!I:I,ROW(A230)),1)),"")</f>
        <v/>
      </c>
    </row>
    <row r="232" spans="1:1" x14ac:dyDescent="0.25">
      <c r="A232" t="str">
        <f>IFERROR((INDEX('Product Catalogue'!A:A,SMALL('Product Catalogue'!I:I,ROW(A231)),1)),"")</f>
        <v/>
      </c>
    </row>
    <row r="233" spans="1:1" x14ac:dyDescent="0.25">
      <c r="A233" t="str">
        <f>IFERROR((INDEX('Product Catalogue'!A:A,SMALL('Product Catalogue'!I:I,ROW(A232)),1)),"")</f>
        <v/>
      </c>
    </row>
    <row r="234" spans="1:1" x14ac:dyDescent="0.25">
      <c r="A234" t="str">
        <f>IFERROR((INDEX('Product Catalogue'!A:A,SMALL('Product Catalogue'!I:I,ROW(A233)),1)),"")</f>
        <v/>
      </c>
    </row>
    <row r="235" spans="1:1" x14ac:dyDescent="0.25">
      <c r="A235" t="str">
        <f>IFERROR((INDEX('Product Catalogue'!A:A,SMALL('Product Catalogue'!I:I,ROW(A234)),1)),"")</f>
        <v/>
      </c>
    </row>
    <row r="236" spans="1:1" x14ac:dyDescent="0.25">
      <c r="A236" t="str">
        <f>IFERROR((INDEX('Product Catalogue'!A:A,SMALL('Product Catalogue'!I:I,ROW(A235)),1)),"")</f>
        <v/>
      </c>
    </row>
    <row r="237" spans="1:1" x14ac:dyDescent="0.25">
      <c r="A237" t="str">
        <f>IFERROR((INDEX('Product Catalogue'!A:A,SMALL('Product Catalogue'!I:I,ROW(A236)),1)),"")</f>
        <v/>
      </c>
    </row>
    <row r="238" spans="1:1" x14ac:dyDescent="0.25">
      <c r="A238" t="str">
        <f>IFERROR((INDEX('Product Catalogue'!A:A,SMALL('Product Catalogue'!I:I,ROW(A237)),1)),"")</f>
        <v/>
      </c>
    </row>
    <row r="239" spans="1:1" x14ac:dyDescent="0.25">
      <c r="A239" t="str">
        <f>IFERROR((INDEX('Product Catalogue'!A:A,SMALL('Product Catalogue'!I:I,ROW(A238)),1)),"")</f>
        <v/>
      </c>
    </row>
    <row r="240" spans="1:1" x14ac:dyDescent="0.25">
      <c r="A240" t="str">
        <f>IFERROR((INDEX('Product Catalogue'!A:A,SMALL('Product Catalogue'!I:I,ROW(A239)),1)),"")</f>
        <v/>
      </c>
    </row>
    <row r="241" spans="1:1" x14ac:dyDescent="0.25">
      <c r="A241" t="str">
        <f>IFERROR((INDEX('Product Catalogue'!A:A,SMALL('Product Catalogue'!I:I,ROW(A240)),1)),"")</f>
        <v/>
      </c>
    </row>
    <row r="242" spans="1:1" x14ac:dyDescent="0.25">
      <c r="A242" t="str">
        <f>IFERROR((INDEX('Product Catalogue'!A:A,SMALL('Product Catalogue'!I:I,ROW(A241)),1)),"")</f>
        <v/>
      </c>
    </row>
    <row r="243" spans="1:1" x14ac:dyDescent="0.25">
      <c r="A243" t="str">
        <f>IFERROR((INDEX('Product Catalogue'!A:A,SMALL('Product Catalogue'!I:I,ROW(A242)),1)),"")</f>
        <v/>
      </c>
    </row>
    <row r="244" spans="1:1" x14ac:dyDescent="0.25">
      <c r="A244" t="str">
        <f>IFERROR((INDEX('Product Catalogue'!A:A,SMALL('Product Catalogue'!I:I,ROW(A243)),1)),"")</f>
        <v/>
      </c>
    </row>
    <row r="245" spans="1:1" x14ac:dyDescent="0.25">
      <c r="A245" t="str">
        <f>IFERROR((INDEX('Product Catalogue'!A:A,SMALL('Product Catalogue'!I:I,ROW(A244)),1)),"")</f>
        <v/>
      </c>
    </row>
    <row r="246" spans="1:1" x14ac:dyDescent="0.25">
      <c r="A246" t="str">
        <f>IFERROR((INDEX('Product Catalogue'!A:A,SMALL('Product Catalogue'!I:I,ROW(A245)),1)),"")</f>
        <v/>
      </c>
    </row>
    <row r="247" spans="1:1" x14ac:dyDescent="0.25">
      <c r="A247" t="str">
        <f>IFERROR((INDEX('Product Catalogue'!A:A,SMALL('Product Catalogue'!I:I,ROW(A246)),1)),"")</f>
        <v/>
      </c>
    </row>
    <row r="248" spans="1:1" x14ac:dyDescent="0.25">
      <c r="A248" t="str">
        <f>IFERROR((INDEX('Product Catalogue'!A:A,SMALL('Product Catalogue'!I:I,ROW(A247)),1)),"")</f>
        <v/>
      </c>
    </row>
    <row r="249" spans="1:1" x14ac:dyDescent="0.25">
      <c r="A249" t="str">
        <f>IFERROR((INDEX('Product Catalogue'!A:A,SMALL('Product Catalogue'!I:I,ROW(A248)),1)),"")</f>
        <v/>
      </c>
    </row>
    <row r="250" spans="1:1" x14ac:dyDescent="0.25">
      <c r="A250" t="str">
        <f>IFERROR((INDEX('Product Catalogue'!A:A,SMALL('Product Catalogue'!I:I,ROW(A249)),1)),"")</f>
        <v/>
      </c>
    </row>
    <row r="251" spans="1:1" x14ac:dyDescent="0.25">
      <c r="A251" t="str">
        <f>IFERROR((INDEX('Product Catalogue'!A:A,SMALL('Product Catalogue'!I:I,ROW(A250)),1)),"")</f>
        <v/>
      </c>
    </row>
    <row r="252" spans="1:1" x14ac:dyDescent="0.25">
      <c r="A252" t="str">
        <f>IFERROR((INDEX('Product Catalogue'!A:A,SMALL('Product Catalogue'!I:I,ROW(A251)),1)),"")</f>
        <v/>
      </c>
    </row>
    <row r="253" spans="1:1" x14ac:dyDescent="0.25">
      <c r="A253" t="str">
        <f>IFERROR((INDEX('Product Catalogue'!A:A,SMALL('Product Catalogue'!I:I,ROW(A252)),1)),"")</f>
        <v/>
      </c>
    </row>
    <row r="254" spans="1:1" x14ac:dyDescent="0.25">
      <c r="A254" t="str">
        <f>IFERROR((INDEX('Product Catalogue'!A:A,SMALL('Product Catalogue'!I:I,ROW(A253)),1)),"")</f>
        <v/>
      </c>
    </row>
    <row r="255" spans="1:1" x14ac:dyDescent="0.25">
      <c r="A255" t="str">
        <f>IFERROR((INDEX('Product Catalogue'!A:A,SMALL('Product Catalogue'!I:I,ROW(A254)),1)),"")</f>
        <v/>
      </c>
    </row>
    <row r="256" spans="1:1" x14ac:dyDescent="0.25">
      <c r="A256" t="str">
        <f>IFERROR((INDEX('Product Catalogue'!A:A,SMALL('Product Catalogue'!I:I,ROW(A255)),1)),"")</f>
        <v/>
      </c>
    </row>
    <row r="257" spans="1:1" x14ac:dyDescent="0.25">
      <c r="A257" t="str">
        <f>IFERROR((INDEX('Product Catalogue'!A:A,SMALL('Product Catalogue'!I:I,ROW(A256)),1)),"")</f>
        <v/>
      </c>
    </row>
    <row r="258" spans="1:1" x14ac:dyDescent="0.25">
      <c r="A258" t="str">
        <f>IFERROR((INDEX('Product Catalogue'!A:A,SMALL('Product Catalogue'!I:I,ROW(A257)),1)),"")</f>
        <v/>
      </c>
    </row>
    <row r="259" spans="1:1" x14ac:dyDescent="0.25">
      <c r="A259" t="str">
        <f>IFERROR((INDEX('Product Catalogue'!A:A,SMALL('Product Catalogue'!I:I,ROW(A258)),1)),"")</f>
        <v/>
      </c>
    </row>
    <row r="260" spans="1:1" x14ac:dyDescent="0.25">
      <c r="A260" t="str">
        <f>IFERROR((INDEX('Product Catalogue'!A:A,SMALL('Product Catalogue'!I:I,ROW(A259)),1)),"")</f>
        <v/>
      </c>
    </row>
    <row r="261" spans="1:1" x14ac:dyDescent="0.25">
      <c r="A261" t="str">
        <f>IFERROR((INDEX('Product Catalogue'!A:A,SMALL('Product Catalogue'!I:I,ROW(A260)),1)),"")</f>
        <v/>
      </c>
    </row>
    <row r="262" spans="1:1" x14ac:dyDescent="0.25">
      <c r="A262" t="str">
        <f>IFERROR((INDEX('Product Catalogue'!A:A,SMALL('Product Catalogue'!I:I,ROW(A261)),1)),"")</f>
        <v/>
      </c>
    </row>
    <row r="263" spans="1:1" x14ac:dyDescent="0.25">
      <c r="A263" t="str">
        <f>IFERROR((INDEX('Product Catalogue'!A:A,SMALL('Product Catalogue'!I:I,ROW(A262)),1)),"")</f>
        <v/>
      </c>
    </row>
    <row r="264" spans="1:1" x14ac:dyDescent="0.25">
      <c r="A264" t="str">
        <f>IFERROR((INDEX('Product Catalogue'!A:A,SMALL('Product Catalogue'!I:I,ROW(A263)),1)),"")</f>
        <v/>
      </c>
    </row>
    <row r="265" spans="1:1" x14ac:dyDescent="0.25">
      <c r="A265" t="str">
        <f>IFERROR((INDEX('Product Catalogue'!A:A,SMALL('Product Catalogue'!I:I,ROW(A264)),1)),"")</f>
        <v/>
      </c>
    </row>
    <row r="266" spans="1:1" x14ac:dyDescent="0.25">
      <c r="A266" t="str">
        <f>IFERROR((INDEX('Product Catalogue'!A:A,SMALL('Product Catalogue'!I:I,ROW(A265)),1)),"")</f>
        <v/>
      </c>
    </row>
    <row r="267" spans="1:1" x14ac:dyDescent="0.25">
      <c r="A267" t="str">
        <f>IFERROR((INDEX('Product Catalogue'!A:A,SMALL('Product Catalogue'!I:I,ROW(A266)),1)),"")</f>
        <v/>
      </c>
    </row>
    <row r="268" spans="1:1" x14ac:dyDescent="0.25">
      <c r="A268" t="str">
        <f>IFERROR((INDEX('Product Catalogue'!A:A,SMALL('Product Catalogue'!I:I,ROW(A267)),1)),"")</f>
        <v/>
      </c>
    </row>
    <row r="269" spans="1:1" x14ac:dyDescent="0.25">
      <c r="A269" t="str">
        <f>IFERROR((INDEX('Product Catalogue'!A:A,SMALL('Product Catalogue'!I:I,ROW(A268)),1)),"")</f>
        <v/>
      </c>
    </row>
    <row r="270" spans="1:1" x14ac:dyDescent="0.25">
      <c r="A270" t="str">
        <f>IFERROR((INDEX('Product Catalogue'!A:A,SMALL('Product Catalogue'!I:I,ROW(A269)),1)),"")</f>
        <v/>
      </c>
    </row>
    <row r="271" spans="1:1" x14ac:dyDescent="0.25">
      <c r="A271" t="str">
        <f>IFERROR((INDEX('Product Catalogue'!A:A,SMALL('Product Catalogue'!I:I,ROW(A270)),1)),"")</f>
        <v/>
      </c>
    </row>
    <row r="272" spans="1:1" x14ac:dyDescent="0.25">
      <c r="A272" t="str">
        <f>IFERROR((INDEX('Product Catalogue'!A:A,SMALL('Product Catalogue'!I:I,ROW(A271)),1)),"")</f>
        <v/>
      </c>
    </row>
    <row r="273" spans="1:1" x14ac:dyDescent="0.25">
      <c r="A273" t="str">
        <f>IFERROR((INDEX('Product Catalogue'!A:A,SMALL('Product Catalogue'!I:I,ROW(A272)),1)),"")</f>
        <v/>
      </c>
    </row>
    <row r="274" spans="1:1" x14ac:dyDescent="0.25">
      <c r="A274" t="str">
        <f>IFERROR((INDEX('Product Catalogue'!A:A,SMALL('Product Catalogue'!I:I,ROW(A273)),1)),"")</f>
        <v/>
      </c>
    </row>
    <row r="275" spans="1:1" x14ac:dyDescent="0.25">
      <c r="A275" t="str">
        <f>IFERROR((INDEX('Product Catalogue'!A:A,SMALL('Product Catalogue'!I:I,ROW(A274)),1)),"")</f>
        <v/>
      </c>
    </row>
    <row r="276" spans="1:1" x14ac:dyDescent="0.25">
      <c r="A276" t="str">
        <f>IFERROR((INDEX('Product Catalogue'!A:A,SMALL('Product Catalogue'!I:I,ROW(A275)),1)),"")</f>
        <v/>
      </c>
    </row>
    <row r="277" spans="1:1" x14ac:dyDescent="0.25">
      <c r="A277" t="str">
        <f>IFERROR((INDEX('Product Catalogue'!A:A,SMALL('Product Catalogue'!I:I,ROW(A276)),1)),"")</f>
        <v/>
      </c>
    </row>
    <row r="278" spans="1:1" x14ac:dyDescent="0.25">
      <c r="A278" t="str">
        <f>IFERROR((INDEX('Product Catalogue'!A:A,SMALL('Product Catalogue'!I:I,ROW(A277)),1)),"")</f>
        <v/>
      </c>
    </row>
    <row r="279" spans="1:1" x14ac:dyDescent="0.25">
      <c r="A279" t="str">
        <f>IFERROR((INDEX('Product Catalogue'!A:A,SMALL('Product Catalogue'!I:I,ROW(A278)),1)),"")</f>
        <v/>
      </c>
    </row>
    <row r="280" spans="1:1" x14ac:dyDescent="0.25">
      <c r="A280" t="str">
        <f>IFERROR((INDEX('Product Catalogue'!A:A,SMALL('Product Catalogue'!I:I,ROW(A279)),1)),"")</f>
        <v/>
      </c>
    </row>
    <row r="281" spans="1:1" x14ac:dyDescent="0.25">
      <c r="A281" t="str">
        <f>IFERROR((INDEX('Product Catalogue'!A:A,SMALL('Product Catalogue'!I:I,ROW(A280)),1)),"")</f>
        <v/>
      </c>
    </row>
    <row r="282" spans="1:1" x14ac:dyDescent="0.25">
      <c r="A282" t="str">
        <f>IFERROR((INDEX('Product Catalogue'!A:A,SMALL('Product Catalogue'!I:I,ROW(A281)),1)),"")</f>
        <v/>
      </c>
    </row>
    <row r="283" spans="1:1" x14ac:dyDescent="0.25">
      <c r="A283" t="str">
        <f>IFERROR((INDEX('Product Catalogue'!A:A,SMALL('Product Catalogue'!I:I,ROW(A282)),1)),"")</f>
        <v/>
      </c>
    </row>
    <row r="284" spans="1:1" x14ac:dyDescent="0.25">
      <c r="A284" t="str">
        <f>IFERROR((INDEX('Product Catalogue'!A:A,SMALL('Product Catalogue'!I:I,ROW(A283)),1)),"")</f>
        <v/>
      </c>
    </row>
    <row r="285" spans="1:1" x14ac:dyDescent="0.25">
      <c r="A285" t="str">
        <f>IFERROR((INDEX('Product Catalogue'!A:A,SMALL('Product Catalogue'!I:I,ROW(A284)),1)),"")</f>
        <v/>
      </c>
    </row>
    <row r="286" spans="1:1" x14ac:dyDescent="0.25">
      <c r="A286" t="str">
        <f>IFERROR((INDEX('Product Catalogue'!A:A,SMALL('Product Catalogue'!I:I,ROW(A285)),1)),"")</f>
        <v/>
      </c>
    </row>
    <row r="287" spans="1:1" x14ac:dyDescent="0.25">
      <c r="A287" t="str">
        <f>IFERROR((INDEX('Product Catalogue'!A:A,SMALL('Product Catalogue'!I:I,ROW(A286)),1)),"")</f>
        <v/>
      </c>
    </row>
    <row r="288" spans="1:1" x14ac:dyDescent="0.25">
      <c r="A288" t="str">
        <f>IFERROR((INDEX('Product Catalogue'!A:A,SMALL('Product Catalogue'!I:I,ROW(A287)),1)),"")</f>
        <v/>
      </c>
    </row>
    <row r="289" spans="1:1" x14ac:dyDescent="0.25">
      <c r="A289" t="str">
        <f>IFERROR((INDEX('Product Catalogue'!A:A,SMALL('Product Catalogue'!I:I,ROW(A288)),1)),"")</f>
        <v/>
      </c>
    </row>
    <row r="290" spans="1:1" x14ac:dyDescent="0.25">
      <c r="A290" t="str">
        <f>IFERROR((INDEX('Product Catalogue'!A:A,SMALL('Product Catalogue'!I:I,ROW(A289)),1)),"")</f>
        <v/>
      </c>
    </row>
    <row r="291" spans="1:1" x14ac:dyDescent="0.25">
      <c r="A291" t="str">
        <f>IFERROR((INDEX('Product Catalogue'!A:A,SMALL('Product Catalogue'!I:I,ROW(A290)),1)),"")</f>
        <v/>
      </c>
    </row>
    <row r="292" spans="1:1" x14ac:dyDescent="0.25">
      <c r="A292" t="str">
        <f>IFERROR((INDEX('Product Catalogue'!A:A,SMALL('Product Catalogue'!I:I,ROW(A291)),1)),"")</f>
        <v/>
      </c>
    </row>
    <row r="293" spans="1:1" x14ac:dyDescent="0.25">
      <c r="A293" t="str">
        <f>IFERROR((INDEX('Product Catalogue'!A:A,SMALL('Product Catalogue'!I:I,ROW(A292)),1)),"")</f>
        <v/>
      </c>
    </row>
    <row r="294" spans="1:1" x14ac:dyDescent="0.25">
      <c r="A294" t="str">
        <f>IFERROR((INDEX('Product Catalogue'!A:A,SMALL('Product Catalogue'!I:I,ROW(A293)),1)),"")</f>
        <v/>
      </c>
    </row>
    <row r="295" spans="1:1" x14ac:dyDescent="0.25">
      <c r="A295" t="str">
        <f>IFERROR((INDEX('Product Catalogue'!A:A,SMALL('Product Catalogue'!I:I,ROW(A294)),1)),"")</f>
        <v/>
      </c>
    </row>
    <row r="296" spans="1:1" x14ac:dyDescent="0.25">
      <c r="A296" t="str">
        <f>IFERROR((INDEX('Product Catalogue'!A:A,SMALL('Product Catalogue'!I:I,ROW(A295)),1)),"")</f>
        <v/>
      </c>
    </row>
    <row r="297" spans="1:1" x14ac:dyDescent="0.25">
      <c r="A297" t="str">
        <f>IFERROR((INDEX('Product Catalogue'!A:A,SMALL('Product Catalogue'!I:I,ROW(A296)),1)),"")</f>
        <v/>
      </c>
    </row>
    <row r="298" spans="1:1" x14ac:dyDescent="0.25">
      <c r="A298" t="str">
        <f>IFERROR((INDEX('Product Catalogue'!A:A,SMALL('Product Catalogue'!I:I,ROW(A297)),1)),"")</f>
        <v/>
      </c>
    </row>
    <row r="299" spans="1:1" x14ac:dyDescent="0.25">
      <c r="A299" t="str">
        <f>IFERROR((INDEX('Product Catalogue'!A:A,SMALL('Product Catalogue'!I:I,ROW(A298)),1)),"")</f>
        <v/>
      </c>
    </row>
    <row r="300" spans="1:1" x14ac:dyDescent="0.25">
      <c r="A300" t="str">
        <f>IFERROR((INDEX('Product Catalogue'!A:A,SMALL('Product Catalogue'!I:I,ROW(A299)),1)),"")</f>
        <v/>
      </c>
    </row>
    <row r="301" spans="1:1" x14ac:dyDescent="0.25">
      <c r="A301" t="str">
        <f>IFERROR((INDEX('Product Catalogue'!A:A,SMALL('Product Catalogue'!I:I,ROW(A300)),1)),"")</f>
        <v/>
      </c>
    </row>
    <row r="302" spans="1:1" x14ac:dyDescent="0.25">
      <c r="A302" t="str">
        <f>IFERROR((INDEX('Product Catalogue'!A:A,SMALL('Product Catalogue'!I:I,ROW(A301)),1)),"")</f>
        <v/>
      </c>
    </row>
    <row r="303" spans="1:1" x14ac:dyDescent="0.25">
      <c r="A303" t="str">
        <f>IFERROR((INDEX('Product Catalogue'!A:A,SMALL('Product Catalogue'!I:I,ROW(A302)),1)),"")</f>
        <v/>
      </c>
    </row>
    <row r="304" spans="1:1" x14ac:dyDescent="0.25">
      <c r="A304" t="str">
        <f>IFERROR((INDEX('Product Catalogue'!A:A,SMALL('Product Catalogue'!I:I,ROW(A303)),1)),"")</f>
        <v/>
      </c>
    </row>
    <row r="305" spans="1:1" x14ac:dyDescent="0.25">
      <c r="A305" t="str">
        <f>IFERROR((INDEX('Product Catalogue'!A:A,SMALL('Product Catalogue'!I:I,ROW(A304)),1)),"")</f>
        <v/>
      </c>
    </row>
    <row r="306" spans="1:1" x14ac:dyDescent="0.25">
      <c r="A306" t="str">
        <f>IFERROR((INDEX('Product Catalogue'!A:A,SMALL('Product Catalogue'!I:I,ROW(A305)),1)),"")</f>
        <v/>
      </c>
    </row>
    <row r="307" spans="1:1" x14ac:dyDescent="0.25">
      <c r="A307" t="str">
        <f>IFERROR((INDEX('Product Catalogue'!A:A,SMALL('Product Catalogue'!I:I,ROW(A306)),1)),"")</f>
        <v/>
      </c>
    </row>
    <row r="308" spans="1:1" x14ac:dyDescent="0.25">
      <c r="A308" t="str">
        <f>IFERROR((INDEX('Product Catalogue'!A:A,SMALL('Product Catalogue'!I:I,ROW(A307)),1)),"")</f>
        <v/>
      </c>
    </row>
    <row r="309" spans="1:1" x14ac:dyDescent="0.25">
      <c r="A309" t="str">
        <f>IFERROR((INDEX('Product Catalogue'!A:A,SMALL('Product Catalogue'!I:I,ROW(A308)),1)),"")</f>
        <v/>
      </c>
    </row>
    <row r="310" spans="1:1" x14ac:dyDescent="0.25">
      <c r="A310" t="str">
        <f>IFERROR((INDEX('Product Catalogue'!A:A,SMALL('Product Catalogue'!I:I,ROW(A309)),1)),"")</f>
        <v/>
      </c>
    </row>
    <row r="311" spans="1:1" x14ac:dyDescent="0.25">
      <c r="A311" t="str">
        <f>IFERROR((INDEX('Product Catalogue'!A:A,SMALL('Product Catalogue'!I:I,ROW(A310)),1)),"")</f>
        <v/>
      </c>
    </row>
    <row r="312" spans="1:1" x14ac:dyDescent="0.25">
      <c r="A312" t="str">
        <f>IFERROR((INDEX('Product Catalogue'!A:A,SMALL('Product Catalogue'!I:I,ROW(A311)),1)),"")</f>
        <v/>
      </c>
    </row>
    <row r="313" spans="1:1" x14ac:dyDescent="0.25">
      <c r="A313" t="str">
        <f>IFERROR((INDEX('Product Catalogue'!A:A,SMALL('Product Catalogue'!I:I,ROW(A312)),1)),"")</f>
        <v/>
      </c>
    </row>
    <row r="314" spans="1:1" x14ac:dyDescent="0.25">
      <c r="A314" t="str">
        <f>IFERROR((INDEX('Product Catalogue'!A:A,SMALL('Product Catalogue'!I:I,ROW(A313)),1)),"")</f>
        <v/>
      </c>
    </row>
    <row r="315" spans="1:1" x14ac:dyDescent="0.25">
      <c r="A315" t="str">
        <f>IFERROR((INDEX('Product Catalogue'!A:A,SMALL('Product Catalogue'!I:I,ROW(A314)),1)),"")</f>
        <v/>
      </c>
    </row>
    <row r="316" spans="1:1" x14ac:dyDescent="0.25">
      <c r="A316" t="str">
        <f>IFERROR((INDEX('Product Catalogue'!A:A,SMALL('Product Catalogue'!I:I,ROW(A315)),1)),"")</f>
        <v/>
      </c>
    </row>
    <row r="317" spans="1:1" x14ac:dyDescent="0.25">
      <c r="A317" t="str">
        <f>IFERROR((INDEX('Product Catalogue'!A:A,SMALL('Product Catalogue'!I:I,ROW(A316)),1)),"")</f>
        <v/>
      </c>
    </row>
    <row r="318" spans="1:1" x14ac:dyDescent="0.25">
      <c r="A318" t="str">
        <f>IFERROR((INDEX('Product Catalogue'!A:A,SMALL('Product Catalogue'!I:I,ROW(A317)),1)),"")</f>
        <v/>
      </c>
    </row>
    <row r="319" spans="1:1" x14ac:dyDescent="0.25">
      <c r="A319" t="str">
        <f>IFERROR((INDEX('Product Catalogue'!A:A,SMALL('Product Catalogue'!I:I,ROW(A318)),1)),"")</f>
        <v/>
      </c>
    </row>
    <row r="320" spans="1:1" x14ac:dyDescent="0.25">
      <c r="A320" t="str">
        <f>IFERROR((INDEX('Product Catalogue'!A:A,SMALL('Product Catalogue'!I:I,ROW(A319)),1)),"")</f>
        <v/>
      </c>
    </row>
    <row r="321" spans="1:1" x14ac:dyDescent="0.25">
      <c r="A321" t="str">
        <f>IFERROR((INDEX('Product Catalogue'!A:A,SMALL('Product Catalogue'!I:I,ROW(A320)),1)),"")</f>
        <v/>
      </c>
    </row>
    <row r="322" spans="1:1" x14ac:dyDescent="0.25">
      <c r="A322" t="str">
        <f>IFERROR((INDEX('Product Catalogue'!A:A,SMALL('Product Catalogue'!I:I,ROW(A321)),1)),"")</f>
        <v/>
      </c>
    </row>
    <row r="323" spans="1:1" x14ac:dyDescent="0.25">
      <c r="A323" t="str">
        <f>IFERROR((INDEX('Product Catalogue'!A:A,SMALL('Product Catalogue'!I:I,ROW(A322)),1)),"")</f>
        <v/>
      </c>
    </row>
    <row r="324" spans="1:1" x14ac:dyDescent="0.25">
      <c r="A324" t="str">
        <f>IFERROR((INDEX('Product Catalogue'!A:A,SMALL('Product Catalogue'!I:I,ROW(A323)),1)),"")</f>
        <v/>
      </c>
    </row>
    <row r="325" spans="1:1" x14ac:dyDescent="0.25">
      <c r="A325" t="str">
        <f>IFERROR((INDEX('Product Catalogue'!A:A,SMALL('Product Catalogue'!I:I,ROW(A324)),1)),"")</f>
        <v/>
      </c>
    </row>
    <row r="326" spans="1:1" x14ac:dyDescent="0.25">
      <c r="A326" t="str">
        <f>IFERROR((INDEX('Product Catalogue'!A:A,SMALL('Product Catalogue'!I:I,ROW(A325)),1)),"")</f>
        <v/>
      </c>
    </row>
    <row r="327" spans="1:1" x14ac:dyDescent="0.25">
      <c r="A327" t="str">
        <f>IFERROR((INDEX('Product Catalogue'!A:A,SMALL('Product Catalogue'!I:I,ROW(A326)),1)),"")</f>
        <v/>
      </c>
    </row>
    <row r="328" spans="1:1" x14ac:dyDescent="0.25">
      <c r="A328" t="str">
        <f>IFERROR((INDEX('Product Catalogue'!A:A,SMALL('Product Catalogue'!I:I,ROW(A327)),1)),"")</f>
        <v/>
      </c>
    </row>
    <row r="329" spans="1:1" x14ac:dyDescent="0.25">
      <c r="A329" t="str">
        <f>IFERROR((INDEX('Product Catalogue'!A:A,SMALL('Product Catalogue'!I:I,ROW(A328)),1)),"")</f>
        <v/>
      </c>
    </row>
    <row r="330" spans="1:1" x14ac:dyDescent="0.25">
      <c r="A330" t="str">
        <f>IFERROR((INDEX('Product Catalogue'!A:A,SMALL('Product Catalogue'!I:I,ROW(A329)),1)),"")</f>
        <v/>
      </c>
    </row>
    <row r="331" spans="1:1" x14ac:dyDescent="0.25">
      <c r="A331" t="str">
        <f>IFERROR((INDEX('Product Catalogue'!A:A,SMALL('Product Catalogue'!I:I,ROW(A330)),1)),"")</f>
        <v/>
      </c>
    </row>
    <row r="332" spans="1:1" x14ac:dyDescent="0.25">
      <c r="A332" t="str">
        <f>IFERROR((INDEX('Product Catalogue'!A:A,SMALL('Product Catalogue'!I:I,ROW(A331)),1)),"")</f>
        <v/>
      </c>
    </row>
    <row r="333" spans="1:1" x14ac:dyDescent="0.25">
      <c r="A333" t="str">
        <f>IFERROR((INDEX('Product Catalogue'!A:A,SMALL('Product Catalogue'!I:I,ROW(A332)),1)),"")</f>
        <v/>
      </c>
    </row>
    <row r="334" spans="1:1" x14ac:dyDescent="0.25">
      <c r="A334" t="str">
        <f>IFERROR((INDEX('Product Catalogue'!A:A,SMALL('Product Catalogue'!I:I,ROW(A333)),1)),"")</f>
        <v/>
      </c>
    </row>
    <row r="335" spans="1:1" x14ac:dyDescent="0.25">
      <c r="A335" t="str">
        <f>IFERROR((INDEX('Product Catalogue'!A:A,SMALL('Product Catalogue'!I:I,ROW(A334)),1)),"")</f>
        <v/>
      </c>
    </row>
    <row r="336" spans="1:1" x14ac:dyDescent="0.25">
      <c r="A336" t="str">
        <f>IFERROR((INDEX('Product Catalogue'!A:A,SMALL('Product Catalogue'!I:I,ROW(A335)),1)),"")</f>
        <v/>
      </c>
    </row>
    <row r="337" spans="1:1" x14ac:dyDescent="0.25">
      <c r="A337" t="str">
        <f>IFERROR((INDEX('Product Catalogue'!A:A,SMALL('Product Catalogue'!I:I,ROW(A336)),1)),"")</f>
        <v/>
      </c>
    </row>
    <row r="338" spans="1:1" x14ac:dyDescent="0.25">
      <c r="A338" t="str">
        <f>IFERROR((INDEX('Product Catalogue'!A:A,SMALL('Product Catalogue'!I:I,ROW(A337)),1)),"")</f>
        <v/>
      </c>
    </row>
    <row r="339" spans="1:1" x14ac:dyDescent="0.25">
      <c r="A339" t="str">
        <f>IFERROR((INDEX('Product Catalogue'!A:A,SMALL('Product Catalogue'!I:I,ROW(A338)),1)),"")</f>
        <v/>
      </c>
    </row>
    <row r="340" spans="1:1" x14ac:dyDescent="0.25">
      <c r="A340" t="str">
        <f>IFERROR((INDEX('Product Catalogue'!A:A,SMALL('Product Catalogue'!I:I,ROW(A339)),1)),"")</f>
        <v/>
      </c>
    </row>
    <row r="341" spans="1:1" x14ac:dyDescent="0.25">
      <c r="A341" t="str">
        <f>IFERROR((INDEX('Product Catalogue'!A:A,SMALL('Product Catalogue'!I:I,ROW(A340)),1)),"")</f>
        <v/>
      </c>
    </row>
    <row r="342" spans="1:1" x14ac:dyDescent="0.25">
      <c r="A342" t="str">
        <f>IFERROR((INDEX('Product Catalogue'!A:A,SMALL('Product Catalogue'!I:I,ROW(A341)),1)),"")</f>
        <v/>
      </c>
    </row>
    <row r="343" spans="1:1" x14ac:dyDescent="0.25">
      <c r="A343" t="str">
        <f>IFERROR((INDEX('Product Catalogue'!A:A,SMALL('Product Catalogue'!I:I,ROW(A342)),1)),"")</f>
        <v/>
      </c>
    </row>
    <row r="344" spans="1:1" x14ac:dyDescent="0.25">
      <c r="A344" t="str">
        <f>IFERROR((INDEX('Product Catalogue'!A:A,SMALL('Product Catalogue'!I:I,ROW(A343)),1)),"")</f>
        <v/>
      </c>
    </row>
    <row r="345" spans="1:1" x14ac:dyDescent="0.25">
      <c r="A345" t="str">
        <f>IFERROR((INDEX('Product Catalogue'!A:A,SMALL('Product Catalogue'!I:I,ROW(A344)),1)),"")</f>
        <v/>
      </c>
    </row>
    <row r="346" spans="1:1" x14ac:dyDescent="0.25">
      <c r="A346" t="str">
        <f>IFERROR((INDEX('Product Catalogue'!A:A,SMALL('Product Catalogue'!I:I,ROW(A345)),1)),"")</f>
        <v/>
      </c>
    </row>
    <row r="347" spans="1:1" x14ac:dyDescent="0.25">
      <c r="A347" t="str">
        <f>IFERROR((INDEX('Product Catalogue'!A:A,SMALL('Product Catalogue'!I:I,ROW(A346)),1)),"")</f>
        <v/>
      </c>
    </row>
    <row r="348" spans="1:1" x14ac:dyDescent="0.25">
      <c r="A348" t="str">
        <f>IFERROR((INDEX('Product Catalogue'!A:A,SMALL('Product Catalogue'!I:I,ROW(A347)),1)),"")</f>
        <v/>
      </c>
    </row>
    <row r="349" spans="1:1" x14ac:dyDescent="0.25">
      <c r="A349" t="str">
        <f>IFERROR((INDEX('Product Catalogue'!A:A,SMALL('Product Catalogue'!I:I,ROW(A348)),1)),"")</f>
        <v/>
      </c>
    </row>
    <row r="350" spans="1:1" x14ac:dyDescent="0.25">
      <c r="A350" t="str">
        <f>IFERROR((INDEX('Product Catalogue'!A:A,SMALL('Product Catalogue'!I:I,ROW(A349)),1)),"")</f>
        <v/>
      </c>
    </row>
    <row r="351" spans="1:1" x14ac:dyDescent="0.25">
      <c r="A351" t="str">
        <f>IFERROR((INDEX('Product Catalogue'!A:A,SMALL('Product Catalogue'!I:I,ROW(A350)),1)),"")</f>
        <v/>
      </c>
    </row>
    <row r="352" spans="1:1" x14ac:dyDescent="0.25">
      <c r="A352" t="str">
        <f>IFERROR((INDEX('Product Catalogue'!A:A,SMALL('Product Catalogue'!I:I,ROW(A351)),1)),"")</f>
        <v/>
      </c>
    </row>
    <row r="353" spans="1:1" x14ac:dyDescent="0.25">
      <c r="A353" t="str">
        <f>IFERROR((INDEX('Product Catalogue'!A:A,SMALL('Product Catalogue'!I:I,ROW(A352)),1)),"")</f>
        <v/>
      </c>
    </row>
    <row r="354" spans="1:1" x14ac:dyDescent="0.25">
      <c r="A354" t="str">
        <f>IFERROR((INDEX('Product Catalogue'!A:A,SMALL('Product Catalogue'!I:I,ROW(A353)),1)),"")</f>
        <v/>
      </c>
    </row>
    <row r="355" spans="1:1" x14ac:dyDescent="0.25">
      <c r="A355" t="str">
        <f>IFERROR((INDEX('Product Catalogue'!A:A,SMALL('Product Catalogue'!I:I,ROW(A354)),1)),"")</f>
        <v/>
      </c>
    </row>
    <row r="356" spans="1:1" x14ac:dyDescent="0.25">
      <c r="A356" t="str">
        <f>IFERROR((INDEX('Product Catalogue'!A:A,SMALL('Product Catalogue'!I:I,ROW(A355)),1)),"")</f>
        <v/>
      </c>
    </row>
    <row r="357" spans="1:1" x14ac:dyDescent="0.25">
      <c r="A357" t="str">
        <f>IFERROR((INDEX('Product Catalogue'!A:A,SMALL('Product Catalogue'!I:I,ROW(A356)),1)),"")</f>
        <v/>
      </c>
    </row>
    <row r="358" spans="1:1" x14ac:dyDescent="0.25">
      <c r="A358" t="str">
        <f>IFERROR((INDEX('Product Catalogue'!A:A,SMALL('Product Catalogue'!I:I,ROW(A357)),1)),"")</f>
        <v/>
      </c>
    </row>
    <row r="359" spans="1:1" x14ac:dyDescent="0.25">
      <c r="A359" t="str">
        <f>IFERROR((INDEX('Product Catalogue'!A:A,SMALL('Product Catalogue'!I:I,ROW(A358)),1)),"")</f>
        <v/>
      </c>
    </row>
    <row r="360" spans="1:1" x14ac:dyDescent="0.25">
      <c r="A360" t="str">
        <f>IFERROR((INDEX('Product Catalogue'!A:A,SMALL('Product Catalogue'!I:I,ROW(A359)),1)),"")</f>
        <v/>
      </c>
    </row>
    <row r="361" spans="1:1" x14ac:dyDescent="0.25">
      <c r="A361" t="str">
        <f>IFERROR((INDEX('Product Catalogue'!A:A,SMALL('Product Catalogue'!I:I,ROW(A360)),1)),"")</f>
        <v/>
      </c>
    </row>
    <row r="362" spans="1:1" x14ac:dyDescent="0.25">
      <c r="A362" t="str">
        <f>IFERROR((INDEX('Product Catalogue'!A:A,SMALL('Product Catalogue'!I:I,ROW(A361)),1)),"")</f>
        <v/>
      </c>
    </row>
    <row r="363" spans="1:1" x14ac:dyDescent="0.25">
      <c r="A363" t="str">
        <f>IFERROR((INDEX('Product Catalogue'!A:A,SMALL('Product Catalogue'!I:I,ROW(A362)),1)),"")</f>
        <v/>
      </c>
    </row>
    <row r="364" spans="1:1" x14ac:dyDescent="0.25">
      <c r="A364" t="str">
        <f>IFERROR((INDEX('Product Catalogue'!A:A,SMALL('Product Catalogue'!I:I,ROW(A363)),1)),"")</f>
        <v/>
      </c>
    </row>
    <row r="365" spans="1:1" x14ac:dyDescent="0.25">
      <c r="A365" t="str">
        <f>IFERROR((INDEX('Product Catalogue'!A:A,SMALL('Product Catalogue'!I:I,ROW(A364)),1)),"")</f>
        <v/>
      </c>
    </row>
    <row r="366" spans="1:1" x14ac:dyDescent="0.25">
      <c r="A366" t="str">
        <f>IFERROR((INDEX('Product Catalogue'!A:A,SMALL('Product Catalogue'!I:I,ROW(A365)),1)),"")</f>
        <v/>
      </c>
    </row>
    <row r="367" spans="1:1" x14ac:dyDescent="0.25">
      <c r="A367" t="str">
        <f>IFERROR((INDEX('Product Catalogue'!A:A,SMALL('Product Catalogue'!I:I,ROW(A366)),1)),"")</f>
        <v/>
      </c>
    </row>
    <row r="368" spans="1:1" x14ac:dyDescent="0.25">
      <c r="A368" t="str">
        <f>IFERROR((INDEX('Product Catalogue'!A:A,SMALL('Product Catalogue'!I:I,ROW(A367)),1)),"")</f>
        <v/>
      </c>
    </row>
    <row r="369" spans="1:1" x14ac:dyDescent="0.25">
      <c r="A369" t="str">
        <f>IFERROR((INDEX('Product Catalogue'!A:A,SMALL('Product Catalogue'!I:I,ROW(A368)),1)),"")</f>
        <v/>
      </c>
    </row>
    <row r="370" spans="1:1" x14ac:dyDescent="0.25">
      <c r="A370" t="str">
        <f>IFERROR((INDEX('Product Catalogue'!A:A,SMALL('Product Catalogue'!I:I,ROW(A369)),1)),"")</f>
        <v/>
      </c>
    </row>
    <row r="371" spans="1:1" x14ac:dyDescent="0.25">
      <c r="A371" t="str">
        <f>IFERROR((INDEX('Product Catalogue'!A:A,SMALL('Product Catalogue'!I:I,ROW(A370)),1)),"")</f>
        <v/>
      </c>
    </row>
    <row r="372" spans="1:1" x14ac:dyDescent="0.25">
      <c r="A372" t="str">
        <f>IFERROR((INDEX('Product Catalogue'!A:A,SMALL('Product Catalogue'!I:I,ROW(A371)),1)),"")</f>
        <v/>
      </c>
    </row>
    <row r="373" spans="1:1" x14ac:dyDescent="0.25">
      <c r="A373" t="str">
        <f>IFERROR((INDEX('Product Catalogue'!A:A,SMALL('Product Catalogue'!I:I,ROW(A372)),1)),"")</f>
        <v/>
      </c>
    </row>
    <row r="374" spans="1:1" x14ac:dyDescent="0.25">
      <c r="A374" t="str">
        <f>IFERROR((INDEX('Product Catalogue'!A:A,SMALL('Product Catalogue'!I:I,ROW(A373)),1)),"")</f>
        <v/>
      </c>
    </row>
    <row r="375" spans="1:1" x14ac:dyDescent="0.25">
      <c r="A375" t="str">
        <f>IFERROR((INDEX('Product Catalogue'!A:A,SMALL('Product Catalogue'!I:I,ROW(A374)),1)),"")</f>
        <v/>
      </c>
    </row>
    <row r="376" spans="1:1" x14ac:dyDescent="0.25">
      <c r="A376" t="str">
        <f>IFERROR((INDEX('Product Catalogue'!A:A,SMALL('Product Catalogue'!I:I,ROW(A375)),1)),"")</f>
        <v/>
      </c>
    </row>
    <row r="377" spans="1:1" x14ac:dyDescent="0.25">
      <c r="A377" t="str">
        <f>IFERROR((INDEX('Product Catalogue'!A:A,SMALL('Product Catalogue'!I:I,ROW(A376)),1)),"")</f>
        <v/>
      </c>
    </row>
    <row r="378" spans="1:1" x14ac:dyDescent="0.25">
      <c r="A378" t="str">
        <f>IFERROR((INDEX('Product Catalogue'!A:A,SMALL('Product Catalogue'!I:I,ROW(A377)),1)),"")</f>
        <v/>
      </c>
    </row>
    <row r="379" spans="1:1" x14ac:dyDescent="0.25">
      <c r="A379" t="str">
        <f>IFERROR((INDEX('Product Catalogue'!A:A,SMALL('Product Catalogue'!I:I,ROW(A378)),1)),"")</f>
        <v/>
      </c>
    </row>
    <row r="380" spans="1:1" x14ac:dyDescent="0.25">
      <c r="A380" t="str">
        <f>IFERROR((INDEX('Product Catalogue'!A:A,SMALL('Product Catalogue'!I:I,ROW(A379)),1)),"")</f>
        <v/>
      </c>
    </row>
    <row r="381" spans="1:1" x14ac:dyDescent="0.25">
      <c r="A381" t="str">
        <f>IFERROR((INDEX('Product Catalogue'!A:A,SMALL('Product Catalogue'!I:I,ROW(A380)),1)),"")</f>
        <v/>
      </c>
    </row>
    <row r="382" spans="1:1" x14ac:dyDescent="0.25">
      <c r="A382" t="str">
        <f>IFERROR((INDEX('Product Catalogue'!A:A,SMALL('Product Catalogue'!I:I,ROW(A381)),1)),"")</f>
        <v/>
      </c>
    </row>
    <row r="383" spans="1:1" x14ac:dyDescent="0.25">
      <c r="A383" t="str">
        <f>IFERROR((INDEX('Product Catalogue'!A:A,SMALL('Product Catalogue'!I:I,ROW(A382)),1)),"")</f>
        <v/>
      </c>
    </row>
    <row r="384" spans="1:1" x14ac:dyDescent="0.25">
      <c r="A384" t="str">
        <f>IFERROR((INDEX('Product Catalogue'!A:A,SMALL('Product Catalogue'!I:I,ROW(A383)),1)),"")</f>
        <v/>
      </c>
    </row>
    <row r="385" spans="1:1" x14ac:dyDescent="0.25">
      <c r="A385" t="str">
        <f>IFERROR((INDEX('Product Catalogue'!A:A,SMALL('Product Catalogue'!I:I,ROW(A384)),1)),"")</f>
        <v/>
      </c>
    </row>
    <row r="386" spans="1:1" x14ac:dyDescent="0.25">
      <c r="A386" t="str">
        <f>IFERROR((INDEX('Product Catalogue'!A:A,SMALL('Product Catalogue'!I:I,ROW(A385)),1)),"")</f>
        <v/>
      </c>
    </row>
    <row r="387" spans="1:1" x14ac:dyDescent="0.25">
      <c r="A387" t="str">
        <f>IFERROR((INDEX('Product Catalogue'!A:A,SMALL('Product Catalogue'!I:I,ROW(A386)),1)),"")</f>
        <v/>
      </c>
    </row>
    <row r="388" spans="1:1" x14ac:dyDescent="0.25">
      <c r="A388" t="str">
        <f>IFERROR((INDEX('Product Catalogue'!A:A,SMALL('Product Catalogue'!I:I,ROW(A387)),1)),"")</f>
        <v/>
      </c>
    </row>
    <row r="389" spans="1:1" x14ac:dyDescent="0.25">
      <c r="A389" t="str">
        <f>IFERROR((INDEX('Product Catalogue'!A:A,SMALL('Product Catalogue'!I:I,ROW(A388)),1)),"")</f>
        <v/>
      </c>
    </row>
    <row r="390" spans="1:1" x14ac:dyDescent="0.25">
      <c r="A390" t="str">
        <f>IFERROR((INDEX('Product Catalogue'!A:A,SMALL('Product Catalogue'!I:I,ROW(A389)),1)),"")</f>
        <v/>
      </c>
    </row>
    <row r="391" spans="1:1" x14ac:dyDescent="0.25">
      <c r="A391" t="str">
        <f>IFERROR((INDEX('Product Catalogue'!A:A,SMALL('Product Catalogue'!I:I,ROW(A390)),1)),"")</f>
        <v/>
      </c>
    </row>
    <row r="392" spans="1:1" x14ac:dyDescent="0.25">
      <c r="A392" t="str">
        <f>IFERROR((INDEX('Product Catalogue'!A:A,SMALL('Product Catalogue'!I:I,ROW(A391)),1)),"")</f>
        <v/>
      </c>
    </row>
    <row r="393" spans="1:1" x14ac:dyDescent="0.25">
      <c r="A393" t="str">
        <f>IFERROR((INDEX('Product Catalogue'!A:A,SMALL('Product Catalogue'!I:I,ROW(A392)),1)),"")</f>
        <v/>
      </c>
    </row>
    <row r="394" spans="1:1" x14ac:dyDescent="0.25">
      <c r="A394" t="str">
        <f>IFERROR((INDEX('Product Catalogue'!A:A,SMALL('Product Catalogue'!I:I,ROW(A393)),1)),"")</f>
        <v/>
      </c>
    </row>
    <row r="395" spans="1:1" x14ac:dyDescent="0.25">
      <c r="A395" t="str">
        <f>IFERROR((INDEX('Product Catalogue'!A:A,SMALL('Product Catalogue'!I:I,ROW(A394)),1)),"")</f>
        <v/>
      </c>
    </row>
    <row r="396" spans="1:1" x14ac:dyDescent="0.25">
      <c r="A396" t="str">
        <f>IFERROR((INDEX('Product Catalogue'!A:A,SMALL('Product Catalogue'!I:I,ROW(A395)),1)),"")</f>
        <v/>
      </c>
    </row>
    <row r="397" spans="1:1" x14ac:dyDescent="0.25">
      <c r="A397" t="str">
        <f>IFERROR((INDEX('Product Catalogue'!A:A,SMALL('Product Catalogue'!I:I,ROW(A396)),1)),"")</f>
        <v/>
      </c>
    </row>
    <row r="398" spans="1:1" x14ac:dyDescent="0.25">
      <c r="A398" t="str">
        <f>IFERROR((INDEX('Product Catalogue'!A:A,SMALL('Product Catalogue'!I:I,ROW(A397)),1)),"")</f>
        <v/>
      </c>
    </row>
    <row r="399" spans="1:1" x14ac:dyDescent="0.25">
      <c r="A399" t="str">
        <f>IFERROR((INDEX('Product Catalogue'!A:A,SMALL('Product Catalogue'!I:I,ROW(A398)),1)),"")</f>
        <v/>
      </c>
    </row>
    <row r="400" spans="1:1" x14ac:dyDescent="0.25">
      <c r="A400" t="str">
        <f>IFERROR((INDEX('Product Catalogue'!A:A,SMALL('Product Catalogue'!I:I,ROW(A399)),1)),"")</f>
        <v/>
      </c>
    </row>
    <row r="401" spans="1:1" x14ac:dyDescent="0.25">
      <c r="A401" t="str">
        <f>IFERROR((INDEX('Product Catalogue'!A:A,SMALL('Product Catalogue'!I:I,ROW(A400)),1)),"")</f>
        <v/>
      </c>
    </row>
    <row r="402" spans="1:1" x14ac:dyDescent="0.25">
      <c r="A402" t="str">
        <f>IFERROR((INDEX('Product Catalogue'!A:A,SMALL('Product Catalogue'!I:I,ROW(A401)),1)),"")</f>
        <v/>
      </c>
    </row>
    <row r="403" spans="1:1" x14ac:dyDescent="0.25">
      <c r="A403" t="str">
        <f>IFERROR((INDEX('Product Catalogue'!A:A,SMALL('Product Catalogue'!I:I,ROW(A402)),1)),"")</f>
        <v/>
      </c>
    </row>
    <row r="404" spans="1:1" x14ac:dyDescent="0.25">
      <c r="A404" t="str">
        <f>IFERROR((INDEX('Product Catalogue'!A:A,SMALL('Product Catalogue'!I:I,ROW(A403)),1)),"")</f>
        <v/>
      </c>
    </row>
    <row r="405" spans="1:1" x14ac:dyDescent="0.25">
      <c r="A405" t="str">
        <f>IFERROR((INDEX('Product Catalogue'!A:A,SMALL('Product Catalogue'!I:I,ROW(A404)),1)),"")</f>
        <v/>
      </c>
    </row>
    <row r="406" spans="1:1" x14ac:dyDescent="0.25">
      <c r="A406" t="str">
        <f>IFERROR((INDEX('Product Catalogue'!A:A,SMALL('Product Catalogue'!I:I,ROW(A405)),1)),"")</f>
        <v/>
      </c>
    </row>
    <row r="407" spans="1:1" x14ac:dyDescent="0.25">
      <c r="A407" t="str">
        <f>IFERROR((INDEX('Product Catalogue'!A:A,SMALL('Product Catalogue'!I:I,ROW(A406)),1)),"")</f>
        <v/>
      </c>
    </row>
    <row r="408" spans="1:1" x14ac:dyDescent="0.25">
      <c r="A408" t="str">
        <f>IFERROR((INDEX('Product Catalogue'!A:A,SMALL('Product Catalogue'!I:I,ROW(A407)),1)),"")</f>
        <v/>
      </c>
    </row>
    <row r="409" spans="1:1" x14ac:dyDescent="0.25">
      <c r="A409" t="str">
        <f>IFERROR((INDEX('Product Catalogue'!A:A,SMALL('Product Catalogue'!I:I,ROW(A408)),1)),"")</f>
        <v/>
      </c>
    </row>
    <row r="410" spans="1:1" x14ac:dyDescent="0.25">
      <c r="A410" t="str">
        <f>IFERROR((INDEX('Product Catalogue'!A:A,SMALL('Product Catalogue'!I:I,ROW(A409)),1)),"")</f>
        <v/>
      </c>
    </row>
    <row r="411" spans="1:1" x14ac:dyDescent="0.25">
      <c r="A411" t="str">
        <f>IFERROR((INDEX('Product Catalogue'!A:A,SMALL('Product Catalogue'!I:I,ROW(A410)),1)),"")</f>
        <v/>
      </c>
    </row>
    <row r="412" spans="1:1" x14ac:dyDescent="0.25">
      <c r="A412" t="str">
        <f>IFERROR((INDEX('Product Catalogue'!A:A,SMALL('Product Catalogue'!I:I,ROW(A411)),1)),"")</f>
        <v/>
      </c>
    </row>
    <row r="413" spans="1:1" x14ac:dyDescent="0.25">
      <c r="A413" t="str">
        <f>IFERROR((INDEX('Product Catalogue'!A:A,SMALL('Product Catalogue'!I:I,ROW(A412)),1)),"")</f>
        <v/>
      </c>
    </row>
    <row r="414" spans="1:1" x14ac:dyDescent="0.25">
      <c r="A414" t="str">
        <f>IFERROR((INDEX('Product Catalogue'!A:A,SMALL('Product Catalogue'!I:I,ROW(A413)),1)),"")</f>
        <v/>
      </c>
    </row>
    <row r="415" spans="1:1" x14ac:dyDescent="0.25">
      <c r="A415" t="str">
        <f>IFERROR((INDEX('Product Catalogue'!A:A,SMALL('Product Catalogue'!I:I,ROW(A414)),1)),"")</f>
        <v/>
      </c>
    </row>
    <row r="416" spans="1:1" x14ac:dyDescent="0.25">
      <c r="A416" t="str">
        <f>IFERROR((INDEX('Product Catalogue'!A:A,SMALL('Product Catalogue'!I:I,ROW(A415)),1)),"")</f>
        <v/>
      </c>
    </row>
    <row r="417" spans="1:1" x14ac:dyDescent="0.25">
      <c r="A417" t="str">
        <f>IFERROR((INDEX('Product Catalogue'!A:A,SMALL('Product Catalogue'!I:I,ROW(A416)),1)),"")</f>
        <v/>
      </c>
    </row>
    <row r="418" spans="1:1" x14ac:dyDescent="0.25">
      <c r="A418" t="str">
        <f>IFERROR((INDEX('Product Catalogue'!A:A,SMALL('Product Catalogue'!I:I,ROW(A417)),1)),"")</f>
        <v/>
      </c>
    </row>
    <row r="419" spans="1:1" x14ac:dyDescent="0.25">
      <c r="A419" t="str">
        <f>IFERROR((INDEX('Product Catalogue'!A:A,SMALL('Product Catalogue'!I:I,ROW(A418)),1)),"")</f>
        <v/>
      </c>
    </row>
    <row r="420" spans="1:1" x14ac:dyDescent="0.25">
      <c r="A420" t="str">
        <f>IFERROR((INDEX('Product Catalogue'!A:A,SMALL('Product Catalogue'!I:I,ROW(A419)),1)),"")</f>
        <v/>
      </c>
    </row>
    <row r="421" spans="1:1" x14ac:dyDescent="0.25">
      <c r="A421" t="str">
        <f>IFERROR((INDEX('Product Catalogue'!A:A,SMALL('Product Catalogue'!I:I,ROW(A420)),1)),"")</f>
        <v/>
      </c>
    </row>
    <row r="422" spans="1:1" x14ac:dyDescent="0.25">
      <c r="A422" t="str">
        <f>IFERROR((INDEX('Product Catalogue'!A:A,SMALL('Product Catalogue'!I:I,ROW(A421)),1)),"")</f>
        <v/>
      </c>
    </row>
    <row r="423" spans="1:1" x14ac:dyDescent="0.25">
      <c r="A423" t="str">
        <f>IFERROR((INDEX('Product Catalogue'!A:A,SMALL('Product Catalogue'!I:I,ROW(A422)),1)),"")</f>
        <v/>
      </c>
    </row>
    <row r="424" spans="1:1" x14ac:dyDescent="0.25">
      <c r="A424" t="str">
        <f>IFERROR((INDEX('Product Catalogue'!A:A,SMALL('Product Catalogue'!I:I,ROW(A423)),1)),"")</f>
        <v/>
      </c>
    </row>
    <row r="425" spans="1:1" x14ac:dyDescent="0.25">
      <c r="A425" t="str">
        <f>IFERROR((INDEX('Product Catalogue'!A:A,SMALL('Product Catalogue'!I:I,ROW(A424)),1)),"")</f>
        <v/>
      </c>
    </row>
    <row r="426" spans="1:1" x14ac:dyDescent="0.25">
      <c r="A426" t="str">
        <f>IFERROR((INDEX('Product Catalogue'!A:A,SMALL('Product Catalogue'!I:I,ROW(A425)),1)),"")</f>
        <v/>
      </c>
    </row>
    <row r="427" spans="1:1" x14ac:dyDescent="0.25">
      <c r="A427" t="str">
        <f>IFERROR((INDEX('Product Catalogue'!A:A,SMALL('Product Catalogue'!I:I,ROW(A426)),1)),"")</f>
        <v/>
      </c>
    </row>
    <row r="428" spans="1:1" x14ac:dyDescent="0.25">
      <c r="A428" t="str">
        <f>IFERROR((INDEX('Product Catalogue'!A:A,SMALL('Product Catalogue'!I:I,ROW(A427)),1)),"")</f>
        <v/>
      </c>
    </row>
    <row r="429" spans="1:1" x14ac:dyDescent="0.25">
      <c r="A429" t="str">
        <f>IFERROR((INDEX('Product Catalogue'!A:A,SMALL('Product Catalogue'!I:I,ROW(A428)),1)),"")</f>
        <v/>
      </c>
    </row>
    <row r="430" spans="1:1" x14ac:dyDescent="0.25">
      <c r="A430" t="str">
        <f>IFERROR((INDEX('Product Catalogue'!A:A,SMALL('Product Catalogue'!I:I,ROW(A429)),1)),"")</f>
        <v/>
      </c>
    </row>
    <row r="431" spans="1:1" x14ac:dyDescent="0.25">
      <c r="A431" t="str">
        <f>IFERROR((INDEX('Product Catalogue'!A:A,SMALL('Product Catalogue'!I:I,ROW(A430)),1)),"")</f>
        <v/>
      </c>
    </row>
    <row r="432" spans="1:1" x14ac:dyDescent="0.25">
      <c r="A432" t="str">
        <f>IFERROR((INDEX('Product Catalogue'!A:A,SMALL('Product Catalogue'!I:I,ROW(A431)),1)),"")</f>
        <v/>
      </c>
    </row>
    <row r="433" spans="1:1" x14ac:dyDescent="0.25">
      <c r="A433" t="str">
        <f>IFERROR((INDEX('Product Catalogue'!A:A,SMALL('Product Catalogue'!I:I,ROW(A432)),1)),"")</f>
        <v/>
      </c>
    </row>
    <row r="434" spans="1:1" x14ac:dyDescent="0.25">
      <c r="A434" t="str">
        <f>IFERROR((INDEX('Product Catalogue'!A:A,SMALL('Product Catalogue'!I:I,ROW(A433)),1)),"")</f>
        <v/>
      </c>
    </row>
    <row r="435" spans="1:1" x14ac:dyDescent="0.25">
      <c r="A435" t="str">
        <f>IFERROR((INDEX('Product Catalogue'!A:A,SMALL('Product Catalogue'!I:I,ROW(A434)),1)),"")</f>
        <v/>
      </c>
    </row>
    <row r="436" spans="1:1" x14ac:dyDescent="0.25">
      <c r="A436" t="str">
        <f>IFERROR((INDEX('Product Catalogue'!A:A,SMALL('Product Catalogue'!I:I,ROW(A435)),1)),"")</f>
        <v/>
      </c>
    </row>
    <row r="437" spans="1:1" x14ac:dyDescent="0.25">
      <c r="A437" t="str">
        <f>IFERROR((INDEX('Product Catalogue'!A:A,SMALL('Product Catalogue'!I:I,ROW(A436)),1)),"")</f>
        <v/>
      </c>
    </row>
    <row r="438" spans="1:1" x14ac:dyDescent="0.25">
      <c r="A438" t="str">
        <f>IFERROR((INDEX('Product Catalogue'!A:A,SMALL('Product Catalogue'!I:I,ROW(A437)),1)),"")</f>
        <v/>
      </c>
    </row>
    <row r="439" spans="1:1" x14ac:dyDescent="0.25">
      <c r="A439" t="str">
        <f>IFERROR((INDEX('Product Catalogue'!A:A,SMALL('Product Catalogue'!I:I,ROW(A438)),1)),"")</f>
        <v/>
      </c>
    </row>
    <row r="440" spans="1:1" x14ac:dyDescent="0.25">
      <c r="A440" t="str">
        <f>IFERROR((INDEX('Product Catalogue'!A:A,SMALL('Product Catalogue'!I:I,ROW(A439)),1)),"")</f>
        <v/>
      </c>
    </row>
    <row r="441" spans="1:1" x14ac:dyDescent="0.25">
      <c r="A441" t="str">
        <f>IFERROR((INDEX('Product Catalogue'!A:A,SMALL('Product Catalogue'!I:I,ROW(A440)),1)),"")</f>
        <v/>
      </c>
    </row>
    <row r="442" spans="1:1" x14ac:dyDescent="0.25">
      <c r="A442" t="str">
        <f>IFERROR((INDEX('Product Catalogue'!A:A,SMALL('Product Catalogue'!I:I,ROW(A441)),1)),"")</f>
        <v/>
      </c>
    </row>
    <row r="443" spans="1:1" x14ac:dyDescent="0.25">
      <c r="A443" t="str">
        <f>IFERROR((INDEX('Product Catalogue'!A:A,SMALL('Product Catalogue'!I:I,ROW(A442)),1)),"")</f>
        <v/>
      </c>
    </row>
    <row r="444" spans="1:1" x14ac:dyDescent="0.25">
      <c r="A444" t="str">
        <f>IFERROR((INDEX('Product Catalogue'!A:A,SMALL('Product Catalogue'!I:I,ROW(A443)),1)),"")</f>
        <v/>
      </c>
    </row>
    <row r="445" spans="1:1" x14ac:dyDescent="0.25">
      <c r="A445" t="str">
        <f>IFERROR((INDEX('Product Catalogue'!A:A,SMALL('Product Catalogue'!I:I,ROW(A444)),1)),"")</f>
        <v/>
      </c>
    </row>
    <row r="446" spans="1:1" x14ac:dyDescent="0.25">
      <c r="A446" t="str">
        <f>IFERROR((INDEX('Product Catalogue'!A:A,SMALL('Product Catalogue'!I:I,ROW(A445)),1)),"")</f>
        <v/>
      </c>
    </row>
    <row r="447" spans="1:1" x14ac:dyDescent="0.25">
      <c r="A447" t="str">
        <f>IFERROR((INDEX('Product Catalogue'!A:A,SMALL('Product Catalogue'!I:I,ROW(A446)),1)),"")</f>
        <v/>
      </c>
    </row>
    <row r="448" spans="1:1" x14ac:dyDescent="0.25">
      <c r="A448" t="str">
        <f>IFERROR((INDEX('Product Catalogue'!A:A,SMALL('Product Catalogue'!I:I,ROW(A447)),1)),"")</f>
        <v/>
      </c>
    </row>
    <row r="449" spans="1:1" x14ac:dyDescent="0.25">
      <c r="A449" t="str">
        <f>IFERROR((INDEX('Product Catalogue'!A:A,SMALL('Product Catalogue'!I:I,ROW(A448)),1)),"")</f>
        <v/>
      </c>
    </row>
    <row r="450" spans="1:1" x14ac:dyDescent="0.25">
      <c r="A450" t="str">
        <f>IFERROR((INDEX('Product Catalogue'!A:A,SMALL('Product Catalogue'!I:I,ROW(A449)),1)),"")</f>
        <v/>
      </c>
    </row>
    <row r="451" spans="1:1" x14ac:dyDescent="0.25">
      <c r="A451" t="str">
        <f>IFERROR((INDEX('Product Catalogue'!A:A,SMALL('Product Catalogue'!I:I,ROW(A450)),1)),"")</f>
        <v/>
      </c>
    </row>
    <row r="452" spans="1:1" x14ac:dyDescent="0.25">
      <c r="A452" t="str">
        <f>IFERROR((INDEX('Product Catalogue'!A:A,SMALL('Product Catalogue'!I:I,ROW(A451)),1)),"")</f>
        <v/>
      </c>
    </row>
    <row r="453" spans="1:1" x14ac:dyDescent="0.25">
      <c r="A453" t="str">
        <f>IFERROR((INDEX('Product Catalogue'!A:A,SMALL('Product Catalogue'!I:I,ROW(A452)),1)),"")</f>
        <v/>
      </c>
    </row>
    <row r="454" spans="1:1" x14ac:dyDescent="0.25">
      <c r="A454" t="str">
        <f>IFERROR((INDEX('Product Catalogue'!A:A,SMALL('Product Catalogue'!I:I,ROW(A453)),1)),"")</f>
        <v/>
      </c>
    </row>
    <row r="455" spans="1:1" x14ac:dyDescent="0.25">
      <c r="A455" t="str">
        <f>IFERROR((INDEX('Product Catalogue'!A:A,SMALL('Product Catalogue'!I:I,ROW(A454)),1)),"")</f>
        <v/>
      </c>
    </row>
    <row r="456" spans="1:1" x14ac:dyDescent="0.25">
      <c r="A456" t="str">
        <f>IFERROR((INDEX('Product Catalogue'!A:A,SMALL('Product Catalogue'!I:I,ROW(A455)),1)),"")</f>
        <v/>
      </c>
    </row>
    <row r="457" spans="1:1" x14ac:dyDescent="0.25">
      <c r="A457" t="str">
        <f>IFERROR((INDEX('Product Catalogue'!A:A,SMALL('Product Catalogue'!I:I,ROW(A456)),1)),"")</f>
        <v/>
      </c>
    </row>
    <row r="458" spans="1:1" x14ac:dyDescent="0.25">
      <c r="A458" t="str">
        <f>IFERROR((INDEX('Product Catalogue'!A:A,SMALL('Product Catalogue'!I:I,ROW(A457)),1)),"")</f>
        <v/>
      </c>
    </row>
    <row r="459" spans="1:1" x14ac:dyDescent="0.25">
      <c r="A459" t="str">
        <f>IFERROR((INDEX('Product Catalogue'!A:A,SMALL('Product Catalogue'!I:I,ROW(A458)),1)),"")</f>
        <v/>
      </c>
    </row>
    <row r="460" spans="1:1" x14ac:dyDescent="0.25">
      <c r="A460" t="str">
        <f>IFERROR((INDEX('Product Catalogue'!A:A,SMALL('Product Catalogue'!I:I,ROW(A459)),1)),"")</f>
        <v/>
      </c>
    </row>
    <row r="461" spans="1:1" x14ac:dyDescent="0.25">
      <c r="A461" t="str">
        <f>IFERROR((INDEX('Product Catalogue'!A:A,SMALL('Product Catalogue'!I:I,ROW(A460)),1)),"")</f>
        <v/>
      </c>
    </row>
    <row r="462" spans="1:1" x14ac:dyDescent="0.25">
      <c r="A462" t="str">
        <f>IFERROR((INDEX('Product Catalogue'!A:A,SMALL('Product Catalogue'!I:I,ROW(A461)),1)),"")</f>
        <v/>
      </c>
    </row>
    <row r="463" spans="1:1" x14ac:dyDescent="0.25">
      <c r="A463" t="str">
        <f>IFERROR((INDEX('Product Catalogue'!A:A,SMALL('Product Catalogue'!I:I,ROW(A462)),1)),"")</f>
        <v/>
      </c>
    </row>
    <row r="464" spans="1:1" x14ac:dyDescent="0.25">
      <c r="A464" t="str">
        <f>IFERROR((INDEX('Product Catalogue'!A:A,SMALL('Product Catalogue'!I:I,ROW(A463)),1)),"")</f>
        <v/>
      </c>
    </row>
    <row r="465" spans="1:1" x14ac:dyDescent="0.25">
      <c r="A465" t="str">
        <f>IFERROR((INDEX('Product Catalogue'!A:A,SMALL('Product Catalogue'!I:I,ROW(A464)),1)),"")</f>
        <v/>
      </c>
    </row>
    <row r="466" spans="1:1" x14ac:dyDescent="0.25">
      <c r="A466" t="str">
        <f>IFERROR((INDEX('Product Catalogue'!A:A,SMALL('Product Catalogue'!I:I,ROW(A465)),1)),"")</f>
        <v/>
      </c>
    </row>
    <row r="467" spans="1:1" x14ac:dyDescent="0.25">
      <c r="A467" t="str">
        <f>IFERROR((INDEX('Product Catalogue'!A:A,SMALL('Product Catalogue'!I:I,ROW(A466)),1)),"")</f>
        <v/>
      </c>
    </row>
    <row r="468" spans="1:1" x14ac:dyDescent="0.25">
      <c r="A468" t="str">
        <f>IFERROR((INDEX('Product Catalogue'!A:A,SMALL('Product Catalogue'!I:I,ROW(A467)),1)),"")</f>
        <v/>
      </c>
    </row>
    <row r="469" spans="1:1" x14ac:dyDescent="0.25">
      <c r="A469" t="str">
        <f>IFERROR((INDEX('Product Catalogue'!A:A,SMALL('Product Catalogue'!I:I,ROW(A468)),1)),"")</f>
        <v/>
      </c>
    </row>
    <row r="470" spans="1:1" x14ac:dyDescent="0.25">
      <c r="A470" t="str">
        <f>IFERROR((INDEX('Product Catalogue'!A:A,SMALL('Product Catalogue'!I:I,ROW(A469)),1)),"")</f>
        <v/>
      </c>
    </row>
    <row r="471" spans="1:1" x14ac:dyDescent="0.25">
      <c r="A471" t="str">
        <f>IFERROR((INDEX('Product Catalogue'!A:A,SMALL('Product Catalogue'!I:I,ROW(A470)),1)),"")</f>
        <v/>
      </c>
    </row>
    <row r="472" spans="1:1" x14ac:dyDescent="0.25">
      <c r="A472" t="str">
        <f>IFERROR((INDEX('Product Catalogue'!A:A,SMALL('Product Catalogue'!I:I,ROW(A471)),1)),"")</f>
        <v/>
      </c>
    </row>
    <row r="473" spans="1:1" x14ac:dyDescent="0.25">
      <c r="A473" t="str">
        <f>IFERROR((INDEX('Product Catalogue'!A:A,SMALL('Product Catalogue'!I:I,ROW(A472)),1)),"")</f>
        <v/>
      </c>
    </row>
    <row r="474" spans="1:1" x14ac:dyDescent="0.25">
      <c r="A474" t="str">
        <f>IFERROR((INDEX('Product Catalogue'!A:A,SMALL('Product Catalogue'!I:I,ROW(A473)),1)),"")</f>
        <v/>
      </c>
    </row>
    <row r="475" spans="1:1" x14ac:dyDescent="0.25">
      <c r="A475" t="str">
        <f>IFERROR((INDEX('Product Catalogue'!A:A,SMALL('Product Catalogue'!I:I,ROW(A474)),1)),"")</f>
        <v/>
      </c>
    </row>
    <row r="476" spans="1:1" x14ac:dyDescent="0.25">
      <c r="A476" t="str">
        <f>IFERROR((INDEX('Product Catalogue'!A:A,SMALL('Product Catalogue'!I:I,ROW(A475)),1)),"")</f>
        <v/>
      </c>
    </row>
    <row r="477" spans="1:1" x14ac:dyDescent="0.25">
      <c r="A477" t="str">
        <f>IFERROR((INDEX('Product Catalogue'!A:A,SMALL('Product Catalogue'!I:I,ROW(A476)),1)),"")</f>
        <v/>
      </c>
    </row>
    <row r="478" spans="1:1" x14ac:dyDescent="0.25">
      <c r="A478" t="str">
        <f>IFERROR((INDEX('Product Catalogue'!A:A,SMALL('Product Catalogue'!I:I,ROW(A477)),1)),"")</f>
        <v/>
      </c>
    </row>
    <row r="479" spans="1:1" x14ac:dyDescent="0.25">
      <c r="A479" t="str">
        <f>IFERROR((INDEX('Product Catalogue'!A:A,SMALL('Product Catalogue'!I:I,ROW(A478)),1)),"")</f>
        <v/>
      </c>
    </row>
    <row r="480" spans="1:1" x14ac:dyDescent="0.25">
      <c r="A480" t="str">
        <f>IFERROR((INDEX('Product Catalogue'!A:A,SMALL('Product Catalogue'!I:I,ROW(A479)),1)),"")</f>
        <v/>
      </c>
    </row>
    <row r="481" spans="1:1" x14ac:dyDescent="0.25">
      <c r="A481" t="str">
        <f>IFERROR((INDEX('Product Catalogue'!A:A,SMALL('Product Catalogue'!I:I,ROW(A480)),1)),"")</f>
        <v/>
      </c>
    </row>
    <row r="482" spans="1:1" x14ac:dyDescent="0.25">
      <c r="A482" t="str">
        <f>IFERROR((INDEX('Product Catalogue'!A:A,SMALL('Product Catalogue'!I:I,ROW(A481)),1)),"")</f>
        <v/>
      </c>
    </row>
    <row r="483" spans="1:1" x14ac:dyDescent="0.25">
      <c r="A483" t="str">
        <f>IFERROR((INDEX('Product Catalogue'!A:A,SMALL('Product Catalogue'!I:I,ROW(A482)),1)),"")</f>
        <v/>
      </c>
    </row>
    <row r="484" spans="1:1" x14ac:dyDescent="0.25">
      <c r="A484" t="str">
        <f>IFERROR((INDEX('Product Catalogue'!A:A,SMALL('Product Catalogue'!I:I,ROW(A483)),1)),"")</f>
        <v/>
      </c>
    </row>
    <row r="485" spans="1:1" x14ac:dyDescent="0.25">
      <c r="A485" t="str">
        <f>IFERROR((INDEX('Product Catalogue'!A:A,SMALL('Product Catalogue'!I:I,ROW(A484)),1)),"")</f>
        <v/>
      </c>
    </row>
    <row r="486" spans="1:1" x14ac:dyDescent="0.25">
      <c r="A486" t="str">
        <f>IFERROR((INDEX('Product Catalogue'!A:A,SMALL('Product Catalogue'!I:I,ROW(A485)),1)),"")</f>
        <v/>
      </c>
    </row>
    <row r="487" spans="1:1" x14ac:dyDescent="0.25">
      <c r="A487" t="str">
        <f>IFERROR((INDEX('Product Catalogue'!A:A,SMALL('Product Catalogue'!I:I,ROW(A486)),1)),"")</f>
        <v/>
      </c>
    </row>
    <row r="488" spans="1:1" x14ac:dyDescent="0.25">
      <c r="A488" t="str">
        <f>IFERROR((INDEX('Product Catalogue'!A:A,SMALL('Product Catalogue'!I:I,ROW(A487)),1)),"")</f>
        <v/>
      </c>
    </row>
    <row r="489" spans="1:1" x14ac:dyDescent="0.25">
      <c r="A489" t="str">
        <f>IFERROR((INDEX('Product Catalogue'!A:A,SMALL('Product Catalogue'!I:I,ROW(A488)),1)),"")</f>
        <v/>
      </c>
    </row>
    <row r="490" spans="1:1" x14ac:dyDescent="0.25">
      <c r="A490" t="str">
        <f>IFERROR((INDEX('Product Catalogue'!A:A,SMALL('Product Catalogue'!I:I,ROW(A489)),1)),"")</f>
        <v/>
      </c>
    </row>
    <row r="491" spans="1:1" x14ac:dyDescent="0.25">
      <c r="A491" t="str">
        <f>IFERROR((INDEX('Product Catalogue'!A:A,SMALL('Product Catalogue'!I:I,ROW(A490)),1)),"")</f>
        <v/>
      </c>
    </row>
    <row r="492" spans="1:1" x14ac:dyDescent="0.25">
      <c r="A492" t="str">
        <f>IFERROR((INDEX('Product Catalogue'!A:A,SMALL('Product Catalogue'!I:I,ROW(A491)),1)),"")</f>
        <v/>
      </c>
    </row>
    <row r="493" spans="1:1" x14ac:dyDescent="0.25">
      <c r="A493" t="str">
        <f>IFERROR((INDEX('Product Catalogue'!A:A,SMALL('Product Catalogue'!I:I,ROW(A492)),1)),"")</f>
        <v/>
      </c>
    </row>
    <row r="494" spans="1:1" x14ac:dyDescent="0.25">
      <c r="A494" t="str">
        <f>IFERROR((INDEX('Product Catalogue'!A:A,SMALL('Product Catalogue'!I:I,ROW(A493)),1)),"")</f>
        <v/>
      </c>
    </row>
    <row r="495" spans="1:1" x14ac:dyDescent="0.25">
      <c r="A495" t="str">
        <f>IFERROR((INDEX('Product Catalogue'!A:A,SMALL('Product Catalogue'!I:I,ROW(A494)),1)),"")</f>
        <v/>
      </c>
    </row>
    <row r="496" spans="1:1" x14ac:dyDescent="0.25">
      <c r="A496" t="str">
        <f>IFERROR((INDEX('Product Catalogue'!A:A,SMALL('Product Catalogue'!I:I,ROW(A495)),1)),"")</f>
        <v/>
      </c>
    </row>
    <row r="497" spans="1:1" x14ac:dyDescent="0.25">
      <c r="A497" t="str">
        <f>IFERROR((INDEX('Product Catalogue'!A:A,SMALL('Product Catalogue'!I:I,ROW(A496)),1)),"")</f>
        <v/>
      </c>
    </row>
    <row r="498" spans="1:1" x14ac:dyDescent="0.25">
      <c r="A498" t="str">
        <f>IFERROR((INDEX('Product Catalogue'!A:A,SMALL('Product Catalogue'!I:I,ROW(A497)),1)),"")</f>
        <v/>
      </c>
    </row>
    <row r="499" spans="1:1" x14ac:dyDescent="0.25">
      <c r="A499" t="str">
        <f>IFERROR((INDEX('Product Catalogue'!A:A,SMALL('Product Catalogue'!I:I,ROW(A498)),1)),"")</f>
        <v/>
      </c>
    </row>
    <row r="500" spans="1:1" x14ac:dyDescent="0.25">
      <c r="A500" t="str">
        <f>IFERROR((INDEX('Product Catalogue'!A:A,SMALL('Product Catalogue'!I:I,ROW(A499)),1)),"")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0000"/>
  </sheetPr>
  <dimension ref="A1:T48"/>
  <sheetViews>
    <sheetView showGridLines="0" zoomScale="80" zoomScaleNormal="80" workbookViewId="0">
      <selection activeCell="H21" sqref="H21"/>
    </sheetView>
  </sheetViews>
  <sheetFormatPr defaultColWidth="9" defaultRowHeight="15" x14ac:dyDescent="0.25"/>
  <cols>
    <col min="1" max="1" width="6.28515625" style="1" customWidth="1"/>
    <col min="2" max="2" width="21" style="1" customWidth="1"/>
    <col min="3" max="3" width="28.5703125" style="1" customWidth="1"/>
    <col min="4" max="4" width="1.42578125" style="1" hidden="1" customWidth="1"/>
    <col min="5" max="5" width="1.28515625" style="1" hidden="1" customWidth="1"/>
    <col min="6" max="6" width="2.5703125" style="1" hidden="1" customWidth="1"/>
    <col min="7" max="7" width="7.42578125" style="1" customWidth="1"/>
    <col min="8" max="8" width="60.42578125" style="1" customWidth="1"/>
    <col min="9" max="9" width="10.85546875" style="8" bestFit="1" customWidth="1"/>
    <col min="10" max="10" width="20.42578125" style="1" bestFit="1" customWidth="1"/>
    <col min="11" max="11" width="13.28515625" style="2" bestFit="1" customWidth="1"/>
    <col min="12" max="12" width="16" style="2" bestFit="1" customWidth="1"/>
    <col min="13" max="13" width="9" style="1"/>
    <col min="14" max="14" width="32" style="1" customWidth="1"/>
    <col min="15" max="16384" width="9" style="1"/>
  </cols>
  <sheetData>
    <row r="1" spans="1:20" ht="19.5" x14ac:dyDescent="0.3">
      <c r="A1" s="11"/>
      <c r="B1" s="11"/>
      <c r="C1" s="11"/>
      <c r="D1" s="11"/>
      <c r="E1" s="11"/>
      <c r="F1" s="11"/>
      <c r="G1" s="11"/>
      <c r="H1" s="39" t="str">
        <f>"Name: "&amp;B4</f>
        <v xml:space="preserve">Name: 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20" ht="14.25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</row>
    <row r="3" spans="1:20" ht="18.399999999999999" thickBot="1" x14ac:dyDescent="0.35">
      <c r="A3" s="11"/>
      <c r="B3" s="43" t="s">
        <v>67</v>
      </c>
      <c r="C3" s="44"/>
      <c r="D3" s="11"/>
      <c r="E3" s="11"/>
      <c r="F3" s="11"/>
      <c r="G3" s="11"/>
      <c r="H3" s="9" t="s">
        <v>0</v>
      </c>
      <c r="I3" s="9" t="s">
        <v>68</v>
      </c>
      <c r="J3" s="9" t="s">
        <v>69</v>
      </c>
      <c r="K3" s="9" t="s">
        <v>1</v>
      </c>
      <c r="L3" s="9" t="s">
        <v>2</v>
      </c>
      <c r="M3" s="11"/>
      <c r="N3" s="4" t="s">
        <v>80</v>
      </c>
      <c r="O3" s="11"/>
      <c r="P3" s="11"/>
      <c r="Q3" s="11"/>
      <c r="R3" s="11"/>
      <c r="S3" s="11"/>
      <c r="T3" s="12"/>
    </row>
    <row r="4" spans="1:20" ht="15.6" thickTop="1" thickBot="1" x14ac:dyDescent="0.3">
      <c r="A4" s="11"/>
      <c r="B4" s="47"/>
      <c r="C4" s="48"/>
      <c r="D4" s="11"/>
      <c r="E4" s="11"/>
      <c r="F4" s="11"/>
      <c r="G4" s="11"/>
      <c r="H4" s="16"/>
      <c r="I4" s="17"/>
      <c r="J4" s="18" t="str">
        <f>IFERROR(VLOOKUP(H4,'Product Catalogue'!$A:$H,7,FALSE),"")</f>
        <v/>
      </c>
      <c r="K4" s="19" t="str">
        <f>IFERROR(VLOOKUP($H4,'Product Catalogue'!$A:$H,8,FALSE),"")</f>
        <v/>
      </c>
      <c r="L4" s="20" t="str">
        <f>IFERROR(K4*$I4,"")</f>
        <v/>
      </c>
      <c r="M4" s="11"/>
      <c r="N4" s="24" t="s">
        <v>91</v>
      </c>
      <c r="O4" s="11"/>
      <c r="P4" s="11"/>
      <c r="Q4" s="11"/>
      <c r="R4" s="11"/>
      <c r="S4" s="11"/>
      <c r="T4" s="12"/>
    </row>
    <row r="5" spans="1:20" ht="18.399999999999999" thickBot="1" x14ac:dyDescent="0.35">
      <c r="A5" s="11"/>
      <c r="B5" s="22" t="s">
        <v>70</v>
      </c>
      <c r="C5" s="23" t="s">
        <v>71</v>
      </c>
      <c r="D5" s="12"/>
      <c r="E5" s="12"/>
      <c r="F5" s="12"/>
      <c r="G5" s="11"/>
      <c r="H5" s="16"/>
      <c r="I5" s="17"/>
      <c r="J5" s="20" t="str">
        <f>IFERROR(VLOOKUP(H5,'Product Catalogue'!$A:$H,7,FALSE),"")</f>
        <v/>
      </c>
      <c r="K5" s="20" t="str">
        <f>IFERROR(VLOOKUP($H5,'Product Catalogue'!$A:$H,8,FALSE),"")</f>
        <v/>
      </c>
      <c r="L5" s="20" t="str">
        <f t="shared" ref="L5" si="0">IFERROR(K5*$I5,"")</f>
        <v/>
      </c>
      <c r="M5" s="11"/>
      <c r="N5" s="4" t="s">
        <v>0</v>
      </c>
      <c r="O5" s="11"/>
      <c r="P5" s="11"/>
      <c r="Q5" s="11"/>
      <c r="R5" s="11"/>
      <c r="S5" s="11"/>
      <c r="T5" s="12"/>
    </row>
    <row r="6" spans="1:20" ht="15.6" thickTop="1" thickBot="1" x14ac:dyDescent="0.3">
      <c r="A6" s="11"/>
      <c r="B6" s="13"/>
      <c r="C6" s="14"/>
      <c r="D6" s="12"/>
      <c r="E6" s="12"/>
      <c r="F6" s="12"/>
      <c r="G6" s="11"/>
      <c r="H6" s="16"/>
      <c r="I6" s="17"/>
      <c r="J6" s="20" t="str">
        <f>IFERROR(VLOOKUP(H6,'Product Catalogue'!$A:$H,7,FALSE),"")</f>
        <v/>
      </c>
      <c r="K6" s="20" t="str">
        <f>IFERROR(VLOOKUP($H6,'Product Catalogue'!$A:$H,8,FALSE),"")</f>
        <v/>
      </c>
      <c r="L6" s="20" t="str">
        <f t="shared" ref="L6" si="1">IFERROR(K6*$I6,"")</f>
        <v/>
      </c>
      <c r="M6" s="11"/>
      <c r="N6" s="25" t="s">
        <v>81</v>
      </c>
      <c r="O6" s="11"/>
      <c r="P6" s="11"/>
      <c r="Q6" s="11"/>
      <c r="R6" s="11"/>
      <c r="S6" s="11"/>
      <c r="T6" s="12"/>
    </row>
    <row r="7" spans="1:20" ht="18.399999999999999" thickBot="1" x14ac:dyDescent="0.35">
      <c r="A7" s="11"/>
      <c r="B7" s="43" t="s">
        <v>73</v>
      </c>
      <c r="C7" s="44"/>
      <c r="D7" s="12"/>
      <c r="E7" s="12"/>
      <c r="F7" s="12"/>
      <c r="G7" s="11"/>
      <c r="H7" s="16"/>
      <c r="I7" s="17"/>
      <c r="J7" s="21" t="str">
        <f>IFERROR(VLOOKUP(H7,'Product Catalogue'!$A:$H,7,FALSE),"")</f>
        <v/>
      </c>
      <c r="K7" s="20" t="str">
        <f>IFERROR(VLOOKUP($H7,'Product Catalogue'!$A:$H,8,FALSE),"")</f>
        <v/>
      </c>
      <c r="L7" s="20" t="str">
        <f t="shared" ref="L7" si="2">IFERROR(K7*$I7,"")</f>
        <v/>
      </c>
      <c r="M7" s="11"/>
      <c r="N7" s="11"/>
      <c r="O7" s="11"/>
      <c r="P7" s="11"/>
      <c r="Q7" s="11"/>
      <c r="R7" s="11"/>
      <c r="S7" s="11"/>
      <c r="T7" s="12"/>
    </row>
    <row r="8" spans="1:20" ht="15.6" thickTop="1" thickBot="1" x14ac:dyDescent="0.3">
      <c r="A8" s="11"/>
      <c r="B8" s="45" t="str">
        <f>IFERROR(B10/B6,"")</f>
        <v/>
      </c>
      <c r="C8" s="46"/>
      <c r="D8" s="12" t="str">
        <f>IFERROR(VLOOKUP(#REF!,'Product Catalogue'!$A:$H,7,FALSE),"")</f>
        <v/>
      </c>
      <c r="E8" s="12" t="str">
        <f>IFERROR(VLOOKUP(#REF!,'Product Catalogue'!$A:$H,8,FALSE),"")</f>
        <v/>
      </c>
      <c r="F8" s="12" t="str">
        <f>IFERROR(#REF!*E8,"")</f>
        <v/>
      </c>
      <c r="G8" s="11"/>
      <c r="H8" s="16"/>
      <c r="I8" s="17"/>
      <c r="J8" s="21" t="str">
        <f>IFERROR(VLOOKUP(H8,'Product Catalogue'!$A:$H,7,FALSE),"")</f>
        <v/>
      </c>
      <c r="K8" s="20" t="str">
        <f>IFERROR(VLOOKUP($H8,'Product Catalogue'!$A:$H,8,FALSE),"")</f>
        <v/>
      </c>
      <c r="L8" s="20" t="str">
        <f t="shared" ref="L8:L23" si="3">IFERROR(K8*$I8,"")</f>
        <v/>
      </c>
      <c r="M8" s="11"/>
      <c r="N8" s="11"/>
      <c r="O8" s="11"/>
      <c r="P8" s="11"/>
      <c r="Q8" s="11"/>
      <c r="R8" s="11"/>
      <c r="S8" s="11"/>
      <c r="T8" s="12"/>
    </row>
    <row r="9" spans="1:20" ht="18.399999999999999" thickBot="1" x14ac:dyDescent="0.35">
      <c r="A9" s="11"/>
      <c r="B9" s="43" t="s">
        <v>72</v>
      </c>
      <c r="C9" s="44"/>
      <c r="D9" s="12" t="str">
        <f>IFERROR(VLOOKUP(#REF!,'Product Catalogue'!$A:$H,7,FALSE),"")</f>
        <v/>
      </c>
      <c r="E9" s="12" t="str">
        <f>IFERROR(VLOOKUP(#REF!,'Product Catalogue'!$A:$H,8,FALSE),"")</f>
        <v/>
      </c>
      <c r="F9" s="12" t="str">
        <f>IFERROR(#REF!*E9,"")</f>
        <v/>
      </c>
      <c r="G9" s="11"/>
      <c r="H9" s="16"/>
      <c r="I9" s="17"/>
      <c r="J9" s="21" t="str">
        <f>IFERROR(VLOOKUP(H9,'Product Catalogue'!$A:$H,7,FALSE),"")</f>
        <v/>
      </c>
      <c r="K9" s="20" t="str">
        <f>IFERROR(VLOOKUP($H9,'Product Catalogue'!$A:$H,8,FALSE),"")</f>
        <v/>
      </c>
      <c r="L9" s="20" t="str">
        <f t="shared" si="3"/>
        <v/>
      </c>
      <c r="M9" s="11"/>
      <c r="N9" s="11"/>
      <c r="O9" s="11"/>
      <c r="P9" s="11"/>
      <c r="Q9" s="11"/>
      <c r="R9" s="11"/>
      <c r="S9" s="11"/>
      <c r="T9" s="12"/>
    </row>
    <row r="10" spans="1:20" ht="15.6" thickTop="1" thickBot="1" x14ac:dyDescent="0.3">
      <c r="A10" s="11"/>
      <c r="B10" s="45">
        <f>SUM(L:L)</f>
        <v>0</v>
      </c>
      <c r="C10" s="46"/>
      <c r="D10" s="12" t="str">
        <f>IFERROR(VLOOKUP(#REF!,'Product Catalogue'!$A:$H,7,FALSE),"")</f>
        <v/>
      </c>
      <c r="E10" s="12" t="str">
        <f>IFERROR(VLOOKUP(#REF!,'Product Catalogue'!$A:$H,8,FALSE),"")</f>
        <v/>
      </c>
      <c r="F10" s="12" t="str">
        <f>IFERROR(#REF!*E10,"")</f>
        <v/>
      </c>
      <c r="G10" s="11"/>
      <c r="H10" s="16"/>
      <c r="I10" s="17"/>
      <c r="J10" s="21" t="str">
        <f>IFERROR(VLOOKUP(H10,'Product Catalogue'!$A:$H,7,FALSE),"")</f>
        <v/>
      </c>
      <c r="K10" s="20" t="str">
        <f>IFERROR(VLOOKUP($H10,'Product Catalogue'!$A:$H,8,FALSE),"")</f>
        <v/>
      </c>
      <c r="L10" s="20" t="str">
        <f t="shared" si="3"/>
        <v/>
      </c>
      <c r="M10" s="11"/>
      <c r="N10" s="11"/>
      <c r="O10" s="11"/>
      <c r="P10" s="11"/>
      <c r="Q10" s="11"/>
      <c r="R10" s="11"/>
      <c r="S10" s="11"/>
      <c r="T10" s="12"/>
    </row>
    <row r="11" spans="1:20" ht="18.399999999999999" thickBot="1" x14ac:dyDescent="0.35">
      <c r="A11" s="11"/>
      <c r="B11" s="43" t="s">
        <v>74</v>
      </c>
      <c r="C11" s="44"/>
      <c r="D11" s="12" t="str">
        <f>IFERROR(VLOOKUP(#REF!,'Product Catalogue'!$A:$H,7,FALSE),"")</f>
        <v/>
      </c>
      <c r="E11" s="12" t="str">
        <f>IFERROR(VLOOKUP(#REF!,'Product Catalogue'!$A:$H,8,FALSE),"")</f>
        <v/>
      </c>
      <c r="F11" s="12" t="str">
        <f>IFERROR(#REF!*E11,"")</f>
        <v/>
      </c>
      <c r="G11" s="11"/>
      <c r="H11" s="16"/>
      <c r="I11" s="17"/>
      <c r="J11" s="21" t="str">
        <f>IFERROR(VLOOKUP(H11,'Product Catalogue'!$A:$H,7,FALSE),"")</f>
        <v/>
      </c>
      <c r="K11" s="20" t="str">
        <f>IFERROR(VLOOKUP($H11,'Product Catalogue'!$A:$H,8,FALSE),"")</f>
        <v/>
      </c>
      <c r="L11" s="20" t="str">
        <f t="shared" si="3"/>
        <v/>
      </c>
      <c r="M11" s="11"/>
      <c r="N11" s="11"/>
      <c r="O11" s="11"/>
      <c r="P11" s="11"/>
      <c r="Q11" s="11"/>
      <c r="R11" s="11"/>
      <c r="S11" s="11"/>
      <c r="T11" s="12"/>
    </row>
    <row r="12" spans="1:20" ht="18" thickTop="1" thickBot="1" x14ac:dyDescent="0.3">
      <c r="A12" s="11"/>
      <c r="B12" s="22" t="s">
        <v>79</v>
      </c>
      <c r="C12" s="5"/>
      <c r="D12" s="12" t="str">
        <f>IFERROR(VLOOKUP(#REF!,'Product Catalogue'!$A:$H,7,FALSE),"")</f>
        <v/>
      </c>
      <c r="E12" s="12" t="str">
        <f>IFERROR(VLOOKUP(#REF!,'Product Catalogue'!$A:$H,8,FALSE),"")</f>
        <v/>
      </c>
      <c r="F12" s="12" t="str">
        <f>IFERROR(#REF!*E12,"")</f>
        <v/>
      </c>
      <c r="G12" s="11"/>
      <c r="H12" s="16"/>
      <c r="I12" s="17"/>
      <c r="J12" s="21" t="str">
        <f>IFERROR(VLOOKUP(H12,'Product Catalogue'!$A:$H,7,FALSE),"")</f>
        <v/>
      </c>
      <c r="K12" s="20" t="str">
        <f>IFERROR(VLOOKUP($H12,'Product Catalogue'!$A:$H,8,FALSE),"")</f>
        <v/>
      </c>
      <c r="L12" s="20" t="str">
        <f t="shared" si="3"/>
        <v/>
      </c>
      <c r="M12" s="11"/>
      <c r="N12" s="11"/>
      <c r="O12" s="11"/>
      <c r="P12" s="11"/>
      <c r="Q12" s="11"/>
      <c r="R12" s="11"/>
      <c r="S12" s="11"/>
      <c r="T12" s="12"/>
    </row>
    <row r="13" spans="1:20" ht="19.149999999999999" thickTop="1" thickBot="1" x14ac:dyDescent="0.35">
      <c r="A13" s="11"/>
      <c r="B13" s="10" t="s">
        <v>75</v>
      </c>
      <c r="C13" s="15" t="str">
        <f>IFERROR(B8*C12,"")</f>
        <v/>
      </c>
      <c r="D13" s="12" t="str">
        <f>IFERROR(VLOOKUP(#REF!,'Product Catalogue'!$A:$H,7,FALSE),"")</f>
        <v/>
      </c>
      <c r="E13" s="12" t="str">
        <f>IFERROR(VLOOKUP(#REF!,'Product Catalogue'!$A:$H,8,FALSE),"")</f>
        <v/>
      </c>
      <c r="F13" s="12" t="str">
        <f>IFERROR(#REF!*E13,"")</f>
        <v/>
      </c>
      <c r="G13" s="11"/>
      <c r="H13" s="16"/>
      <c r="I13" s="17"/>
      <c r="J13" s="21" t="str">
        <f>IFERROR(VLOOKUP(H13,'Product Catalogue'!$A:$H,7,FALSE),"")</f>
        <v/>
      </c>
      <c r="K13" s="20" t="str">
        <f>IFERROR(VLOOKUP($H13,'Product Catalogue'!$A:$H,8,FALSE),"")</f>
        <v/>
      </c>
      <c r="L13" s="20" t="str">
        <f t="shared" si="3"/>
        <v/>
      </c>
      <c r="M13" s="11"/>
      <c r="N13" s="11"/>
      <c r="O13" s="11"/>
      <c r="P13" s="11"/>
      <c r="Q13" s="11"/>
      <c r="R13" s="11"/>
      <c r="S13" s="11"/>
      <c r="T13" s="12"/>
    </row>
    <row r="14" spans="1:20" ht="14.25" x14ac:dyDescent="0.25">
      <c r="A14" s="11"/>
      <c r="B14" s="11"/>
      <c r="C14" s="11"/>
      <c r="D14" s="12" t="str">
        <f>IFERROR(VLOOKUP(#REF!,'Product Catalogue'!$A:$H,7,FALSE),"")</f>
        <v/>
      </c>
      <c r="E14" s="12" t="str">
        <f>IFERROR(VLOOKUP(#REF!,'Product Catalogue'!$A:$H,8,FALSE),"")</f>
        <v/>
      </c>
      <c r="F14" s="12" t="str">
        <f>IFERROR(#REF!*E14,"")</f>
        <v/>
      </c>
      <c r="G14" s="11"/>
      <c r="H14" s="16"/>
      <c r="I14" s="17"/>
      <c r="J14" s="21" t="str">
        <f>IFERROR(VLOOKUP(H14,'Product Catalogue'!$A:$H,7,FALSE),"")</f>
        <v/>
      </c>
      <c r="K14" s="20" t="str">
        <f>IFERROR(VLOOKUP($H14,'Product Catalogue'!$A:$H,8,FALSE),"")</f>
        <v/>
      </c>
      <c r="L14" s="20" t="str">
        <f t="shared" si="3"/>
        <v/>
      </c>
      <c r="M14" s="11"/>
      <c r="N14" s="11"/>
      <c r="O14" s="11"/>
      <c r="P14" s="11"/>
      <c r="Q14" s="11"/>
      <c r="R14" s="11"/>
      <c r="S14" s="11"/>
      <c r="T14" s="12"/>
    </row>
    <row r="15" spans="1:20" ht="14.25" x14ac:dyDescent="0.25">
      <c r="A15" s="11"/>
      <c r="B15" s="11"/>
      <c r="C15" s="11"/>
      <c r="D15" s="12" t="str">
        <f>IFERROR(VLOOKUP(#REF!,'Product Catalogue'!$A:$H,7,FALSE),"")</f>
        <v/>
      </c>
      <c r="E15" s="12" t="str">
        <f>IFERROR(VLOOKUP(#REF!,'Product Catalogue'!$A:$H,8,FALSE),"")</f>
        <v/>
      </c>
      <c r="F15" s="12" t="str">
        <f>IFERROR(#REF!*E15,"")</f>
        <v/>
      </c>
      <c r="G15" s="11"/>
      <c r="H15" s="16"/>
      <c r="I15" s="17"/>
      <c r="J15" s="21" t="str">
        <f>IFERROR(VLOOKUP(H15,'Product Catalogue'!$A:$H,7,FALSE),"")</f>
        <v/>
      </c>
      <c r="K15" s="20" t="str">
        <f>IFERROR(VLOOKUP($H15,'Product Catalogue'!$A:$H,8,FALSE),"")</f>
        <v/>
      </c>
      <c r="L15" s="20" t="str">
        <f t="shared" si="3"/>
        <v/>
      </c>
      <c r="M15" s="11"/>
      <c r="N15" s="11"/>
      <c r="O15" s="11"/>
      <c r="P15" s="11"/>
      <c r="Q15" s="11"/>
      <c r="R15" s="11"/>
      <c r="S15" s="11"/>
      <c r="T15" s="12"/>
    </row>
    <row r="16" spans="1:20" ht="14.25" x14ac:dyDescent="0.25">
      <c r="A16" s="11"/>
      <c r="B16" s="11"/>
      <c r="C16" s="11"/>
      <c r="D16" s="12" t="str">
        <f>IFERROR(VLOOKUP(#REF!,'Product Catalogue'!$A:$H,7,FALSE),"")</f>
        <v/>
      </c>
      <c r="E16" s="12" t="str">
        <f>IFERROR(VLOOKUP(#REF!,'Product Catalogue'!$A:$H,8,FALSE),"")</f>
        <v/>
      </c>
      <c r="F16" s="12" t="str">
        <f>IFERROR(#REF!*E16,"")</f>
        <v/>
      </c>
      <c r="G16" s="11"/>
      <c r="H16" s="16"/>
      <c r="I16" s="17"/>
      <c r="J16" s="21" t="str">
        <f>IFERROR(VLOOKUP(H16,'Product Catalogue'!$A:$H,7,FALSE),"")</f>
        <v/>
      </c>
      <c r="K16" s="20" t="str">
        <f>IFERROR(VLOOKUP($H16,'Product Catalogue'!$A:$H,8,FALSE),"")</f>
        <v/>
      </c>
      <c r="L16" s="20" t="str">
        <f t="shared" si="3"/>
        <v/>
      </c>
      <c r="M16" s="11"/>
      <c r="N16" s="11"/>
      <c r="O16" s="11"/>
      <c r="P16" s="11"/>
      <c r="Q16" s="11"/>
      <c r="R16" s="11"/>
      <c r="S16" s="11"/>
      <c r="T16" s="12"/>
    </row>
    <row r="17" spans="1:20" ht="14.25" x14ac:dyDescent="0.25">
      <c r="A17" s="11"/>
      <c r="B17" s="11"/>
      <c r="C17" s="11"/>
      <c r="D17" s="12" t="str">
        <f>IFERROR(VLOOKUP(#REF!,'Product Catalogue'!$A:$H,7,FALSE),"")</f>
        <v/>
      </c>
      <c r="E17" s="12" t="str">
        <f>IFERROR(VLOOKUP(#REF!,'Product Catalogue'!$A:$H,8,FALSE),"")</f>
        <v/>
      </c>
      <c r="F17" s="12" t="str">
        <f>IFERROR(#REF!*E17,"")</f>
        <v/>
      </c>
      <c r="G17" s="11"/>
      <c r="H17" s="16"/>
      <c r="I17" s="17"/>
      <c r="J17" s="21" t="str">
        <f>IFERROR(VLOOKUP(H17,'Product Catalogue'!$A:$H,7,FALSE),"")</f>
        <v/>
      </c>
      <c r="K17" s="20" t="str">
        <f>IFERROR(VLOOKUP($H17,'Product Catalogue'!$A:$H,8,FALSE),"")</f>
        <v/>
      </c>
      <c r="L17" s="20" t="str">
        <f t="shared" si="3"/>
        <v/>
      </c>
      <c r="M17" s="11"/>
      <c r="N17" s="11"/>
      <c r="O17" s="11"/>
      <c r="P17" s="11"/>
      <c r="Q17" s="11"/>
      <c r="R17" s="11"/>
      <c r="S17" s="11"/>
      <c r="T17" s="12"/>
    </row>
    <row r="18" spans="1:20" ht="14.25" x14ac:dyDescent="0.25">
      <c r="A18" s="11"/>
      <c r="B18" s="11"/>
      <c r="C18" s="11"/>
      <c r="D18" s="12" t="str">
        <f>IFERROR(VLOOKUP(#REF!,'Product Catalogue'!$A:$H,7,FALSE),"")</f>
        <v/>
      </c>
      <c r="E18" s="12" t="str">
        <f>IFERROR(VLOOKUP(#REF!,'Product Catalogue'!$A:$H,8,FALSE),"")</f>
        <v/>
      </c>
      <c r="F18" s="12" t="str">
        <f>IFERROR(#REF!*E18,"")</f>
        <v/>
      </c>
      <c r="G18" s="11"/>
      <c r="H18" s="16"/>
      <c r="I18" s="17"/>
      <c r="J18" s="21" t="str">
        <f>IFERROR(VLOOKUP(H18,'Product Catalogue'!$A:$H,7,FALSE),"")</f>
        <v/>
      </c>
      <c r="K18" s="20" t="str">
        <f>IFERROR(VLOOKUP($H18,'Product Catalogue'!$A:$H,8,FALSE),"")</f>
        <v/>
      </c>
      <c r="L18" s="20" t="str">
        <f t="shared" si="3"/>
        <v/>
      </c>
      <c r="M18" s="11"/>
      <c r="N18" s="11"/>
      <c r="O18" s="11"/>
      <c r="P18" s="11"/>
      <c r="Q18" s="11"/>
      <c r="R18" s="11"/>
      <c r="S18" s="11"/>
      <c r="T18" s="12"/>
    </row>
    <row r="19" spans="1:20" ht="14.25" x14ac:dyDescent="0.25">
      <c r="A19" s="11"/>
      <c r="B19" s="11"/>
      <c r="C19" s="11"/>
      <c r="D19" s="12" t="str">
        <f>IFERROR(VLOOKUP(#REF!,'Product Catalogue'!$A:$H,7,FALSE),"")</f>
        <v/>
      </c>
      <c r="E19" s="12" t="str">
        <f>IFERROR(VLOOKUP(#REF!,'Product Catalogue'!$A:$H,8,FALSE),"")</f>
        <v/>
      </c>
      <c r="F19" s="12" t="str">
        <f>IFERROR(#REF!*E19,"")</f>
        <v/>
      </c>
      <c r="G19" s="11"/>
      <c r="H19" s="16"/>
      <c r="I19" s="17"/>
      <c r="J19" s="21" t="str">
        <f>IFERROR(VLOOKUP(H19,'Product Catalogue'!$A:$H,7,FALSE),"")</f>
        <v/>
      </c>
      <c r="K19" s="20" t="str">
        <f>IFERROR(VLOOKUP($H19,'Product Catalogue'!$A:$H,8,FALSE),"")</f>
        <v/>
      </c>
      <c r="L19" s="20" t="str">
        <f t="shared" si="3"/>
        <v/>
      </c>
      <c r="M19" s="11"/>
      <c r="N19" s="11"/>
      <c r="O19" s="11"/>
      <c r="P19" s="11"/>
      <c r="Q19" s="11"/>
      <c r="R19" s="11"/>
      <c r="S19" s="11"/>
      <c r="T19" s="12"/>
    </row>
    <row r="20" spans="1:20" ht="14.25" x14ac:dyDescent="0.25">
      <c r="A20" s="11"/>
      <c r="B20" s="11"/>
      <c r="C20" s="11"/>
      <c r="D20" s="12" t="str">
        <f>IFERROR(VLOOKUP(#REF!,'Product Catalogue'!$A:$H,7,FALSE),"")</f>
        <v/>
      </c>
      <c r="E20" s="12" t="str">
        <f>IFERROR(VLOOKUP(#REF!,'Product Catalogue'!$A:$H,8,FALSE),"")</f>
        <v/>
      </c>
      <c r="F20" s="12" t="str">
        <f>IFERROR(#REF!*E20,"")</f>
        <v/>
      </c>
      <c r="G20" s="11"/>
      <c r="H20" s="16"/>
      <c r="I20" s="17"/>
      <c r="J20" s="21" t="str">
        <f>IFERROR(VLOOKUP(H20,'Product Catalogue'!$A:$H,7,FALSE),"")</f>
        <v/>
      </c>
      <c r="K20" s="20" t="str">
        <f>IFERROR(VLOOKUP($H20,'Product Catalogue'!$A:$H,8,FALSE),"")</f>
        <v/>
      </c>
      <c r="L20" s="20" t="str">
        <f t="shared" si="3"/>
        <v/>
      </c>
      <c r="M20" s="11"/>
      <c r="N20" s="11"/>
      <c r="O20" s="11"/>
      <c r="P20" s="11"/>
      <c r="Q20" s="11"/>
      <c r="R20" s="11"/>
      <c r="S20" s="11"/>
      <c r="T20" s="12"/>
    </row>
    <row r="21" spans="1:20" ht="14.25" x14ac:dyDescent="0.25">
      <c r="A21" s="11"/>
      <c r="B21" s="11"/>
      <c r="C21" s="11"/>
      <c r="D21" s="12" t="str">
        <f>IFERROR(VLOOKUP(#REF!,'Product Catalogue'!$A:$H,7,FALSE),"")</f>
        <v/>
      </c>
      <c r="E21" s="12" t="str">
        <f>IFERROR(VLOOKUP(#REF!,'Product Catalogue'!$A:$H,8,FALSE),"")</f>
        <v/>
      </c>
      <c r="F21" s="12" t="str">
        <f>IFERROR(#REF!*E21,"")</f>
        <v/>
      </c>
      <c r="G21" s="11"/>
      <c r="H21" s="16"/>
      <c r="I21" s="17"/>
      <c r="J21" s="21" t="str">
        <f>IFERROR(VLOOKUP(H21,'Product Catalogue'!$A:$H,7,FALSE),"")</f>
        <v/>
      </c>
      <c r="K21" s="20" t="str">
        <f>IFERROR(VLOOKUP($H21,'Product Catalogue'!$A:$H,8,FALSE),"")</f>
        <v/>
      </c>
      <c r="L21" s="20" t="str">
        <f t="shared" si="3"/>
        <v/>
      </c>
      <c r="M21" s="11"/>
      <c r="N21" s="11"/>
      <c r="O21" s="11"/>
      <c r="P21" s="11"/>
      <c r="Q21" s="11"/>
      <c r="R21" s="11"/>
      <c r="S21" s="11"/>
      <c r="T21" s="12"/>
    </row>
    <row r="22" spans="1:20" ht="14.25" x14ac:dyDescent="0.25">
      <c r="A22" s="11"/>
      <c r="B22" s="11"/>
      <c r="C22" s="11"/>
      <c r="D22" s="12" t="str">
        <f>IFERROR(VLOOKUP(#REF!,'Product Catalogue'!$A:$H,7,FALSE),"")</f>
        <v/>
      </c>
      <c r="E22" s="12" t="str">
        <f>IFERROR(VLOOKUP(#REF!,'Product Catalogue'!$A:$H,8,FALSE),"")</f>
        <v/>
      </c>
      <c r="F22" s="12" t="str">
        <f>IFERROR(#REF!*E22,"")</f>
        <v/>
      </c>
      <c r="G22" s="11"/>
      <c r="H22" s="16"/>
      <c r="I22" s="17"/>
      <c r="J22" s="21" t="str">
        <f>IFERROR(VLOOKUP(H22,'Product Catalogue'!$A:$H,7,FALSE),"")</f>
        <v/>
      </c>
      <c r="K22" s="20" t="str">
        <f>IFERROR(VLOOKUP($H22,'Product Catalogue'!$A:$H,8,FALSE),"")</f>
        <v/>
      </c>
      <c r="L22" s="20" t="str">
        <f t="shared" si="3"/>
        <v/>
      </c>
      <c r="M22" s="11"/>
      <c r="N22" s="11"/>
      <c r="O22" s="11"/>
      <c r="P22" s="11"/>
      <c r="Q22" s="11"/>
      <c r="R22" s="11"/>
      <c r="S22" s="11"/>
      <c r="T22" s="12"/>
    </row>
    <row r="23" spans="1:20" ht="14.25" x14ac:dyDescent="0.25">
      <c r="A23" s="11"/>
      <c r="B23" s="11"/>
      <c r="C23" s="11"/>
      <c r="D23" s="12" t="str">
        <f>IFERROR(VLOOKUP(#REF!,'Product Catalogue'!$A:$H,7,FALSE),"")</f>
        <v/>
      </c>
      <c r="E23" s="12" t="str">
        <f>IFERROR(VLOOKUP(#REF!,'Product Catalogue'!$A:$H,8,FALSE),"")</f>
        <v/>
      </c>
      <c r="F23" s="12" t="str">
        <f>IFERROR(#REF!*E23,"")</f>
        <v/>
      </c>
      <c r="G23" s="11"/>
      <c r="H23" s="16"/>
      <c r="I23" s="17"/>
      <c r="J23" s="21" t="str">
        <f>IFERROR(VLOOKUP(H23,'Product Catalogue'!$A:$H,7,FALSE),"")</f>
        <v/>
      </c>
      <c r="K23" s="20" t="str">
        <f>IFERROR(VLOOKUP($H23,'Product Catalogue'!$A:$H,8,FALSE),"")</f>
        <v/>
      </c>
      <c r="L23" s="20" t="str">
        <f t="shared" si="3"/>
        <v/>
      </c>
      <c r="M23" s="11"/>
      <c r="N23" s="11"/>
      <c r="O23" s="11"/>
      <c r="P23" s="11"/>
      <c r="Q23" s="11"/>
      <c r="R23" s="11"/>
      <c r="S23" s="11"/>
      <c r="T23" s="12"/>
    </row>
    <row r="24" spans="1:20" ht="14.25" x14ac:dyDescent="0.25">
      <c r="A24" s="11"/>
      <c r="B24" s="11"/>
      <c r="C24" s="11"/>
      <c r="D24" s="12" t="str">
        <f>IFERROR(VLOOKUP(#REF!,'Product Catalogue'!$A:$H,7,FALSE),"")</f>
        <v/>
      </c>
      <c r="E24" s="12" t="str">
        <f>IFERROR(VLOOKUP(#REF!,'Product Catalogue'!$A:$H,8,FALSE),"")</f>
        <v/>
      </c>
      <c r="F24" s="12" t="str">
        <f>IFERROR(#REF!*E24,"")</f>
        <v/>
      </c>
      <c r="G24" s="11"/>
      <c r="H24" s="41"/>
      <c r="I24" s="4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2"/>
    </row>
    <row r="25" spans="1:20" x14ac:dyDescent="0.25">
      <c r="A25" s="11"/>
      <c r="B25" s="11"/>
      <c r="C25" s="11"/>
      <c r="D25" s="12" t="str">
        <f>IFERROR(VLOOKUP(#REF!,'Product Catalogue'!$A:$H,7,FALSE),"")</f>
        <v/>
      </c>
      <c r="E25" s="12" t="str">
        <f>IFERROR(VLOOKUP(#REF!,'Product Catalogue'!$A:$H,8,FALSE),"")</f>
        <v/>
      </c>
      <c r="F25" s="12" t="str">
        <f>IFERROR(#REF!*E25,"")</f>
        <v/>
      </c>
      <c r="G25" s="11"/>
      <c r="H25" s="42"/>
      <c r="I25" s="4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2"/>
    </row>
    <row r="26" spans="1:20" x14ac:dyDescent="0.25">
      <c r="A26" s="11"/>
      <c r="B26" s="11"/>
      <c r="C26" s="11"/>
      <c r="D26" s="12" t="str">
        <f>IFERROR(VLOOKUP(#REF!,'Product Catalogue'!$A:$H,7,FALSE),"")</f>
        <v/>
      </c>
      <c r="E26" s="12" t="str">
        <f>IFERROR(VLOOKUP(#REF!,'Product Catalogue'!$A:$H,8,FALSE),"")</f>
        <v/>
      </c>
      <c r="F26" s="12" t="str">
        <f>IFERROR(#REF!*E26,"")</f>
        <v/>
      </c>
      <c r="G26" s="11"/>
      <c r="H26" s="42"/>
      <c r="I26" s="4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2"/>
    </row>
    <row r="27" spans="1:20" x14ac:dyDescent="0.25">
      <c r="A27" s="11"/>
      <c r="B27" s="11"/>
      <c r="C27" s="11"/>
      <c r="D27" s="12" t="str">
        <f>IFERROR(VLOOKUP(#REF!,'Product Catalogue'!$A:$H,7,FALSE),"")</f>
        <v/>
      </c>
      <c r="E27" s="12" t="str">
        <f>IFERROR(VLOOKUP(#REF!,'Product Catalogue'!$A:$H,8,FALSE),"")</f>
        <v/>
      </c>
      <c r="F27" s="12" t="str">
        <f>IFERROR(#REF!*E27,"")</f>
        <v/>
      </c>
      <c r="G27" s="11"/>
      <c r="H27" s="42"/>
      <c r="I27" s="4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2"/>
    </row>
    <row r="28" spans="1:20" x14ac:dyDescent="0.25">
      <c r="A28" s="11"/>
      <c r="B28" s="11"/>
      <c r="C28" s="11"/>
      <c r="D28" s="12" t="str">
        <f>IFERROR(VLOOKUP(#REF!,'Product Catalogue'!$A:$H,7,FALSE),"")</f>
        <v/>
      </c>
      <c r="E28" s="12" t="str">
        <f>IFERROR(VLOOKUP(#REF!,'Product Catalogue'!$A:$H,8,FALSE),"")</f>
        <v/>
      </c>
      <c r="F28" s="12" t="str">
        <f>IFERROR(#REF!*E28,"")</f>
        <v/>
      </c>
      <c r="G28" s="11"/>
      <c r="H28" s="42"/>
      <c r="I28" s="42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2"/>
    </row>
    <row r="29" spans="1:20" x14ac:dyDescent="0.25">
      <c r="A29" s="11"/>
      <c r="B29" s="11"/>
      <c r="C29" s="11"/>
      <c r="D29" s="12" t="str">
        <f>IFERROR(VLOOKUP(#REF!,'Product Catalogue'!$A:$H,7,FALSE),"")</f>
        <v/>
      </c>
      <c r="E29" s="12" t="str">
        <f>IFERROR(VLOOKUP(#REF!,'Product Catalogue'!$A:$H,8,FALSE),"")</f>
        <v/>
      </c>
      <c r="F29" s="12" t="str">
        <f>IFERROR(#REF!*E29,"")</f>
        <v/>
      </c>
      <c r="G29" s="11"/>
      <c r="H29" s="42"/>
      <c r="I29" s="42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2"/>
    </row>
    <row r="30" spans="1:20" x14ac:dyDescent="0.25">
      <c r="A30" s="11"/>
      <c r="B30" s="11"/>
      <c r="C30" s="11"/>
      <c r="D30" s="12" t="str">
        <f>IFERROR(VLOOKUP(#REF!,'Product Catalogue'!$A:$H,7,FALSE),"")</f>
        <v/>
      </c>
      <c r="E30" s="12" t="str">
        <f>IFERROR(VLOOKUP(#REF!,'Product Catalogue'!$A:$H,8,FALSE),"")</f>
        <v/>
      </c>
      <c r="F30" s="12" t="str">
        <f>IFERROR(#REF!*E30,"")</f>
        <v/>
      </c>
      <c r="G30" s="11"/>
      <c r="H30" s="42"/>
      <c r="I30" s="42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2"/>
    </row>
    <row r="31" spans="1:20" x14ac:dyDescent="0.25">
      <c r="A31" s="11"/>
      <c r="B31" s="11"/>
      <c r="C31" s="11"/>
      <c r="D31" s="12" t="str">
        <f>IFERROR(VLOOKUP(#REF!,'Product Catalogue'!$A:$H,7,FALSE),"")</f>
        <v/>
      </c>
      <c r="E31" s="12" t="str">
        <f>IFERROR(VLOOKUP(#REF!,'Product Catalogue'!$A:$H,8,FALSE),"")</f>
        <v/>
      </c>
      <c r="F31" s="12" t="str">
        <f>IFERROR(#REF!*E31,"")</f>
        <v/>
      </c>
      <c r="G31" s="11"/>
      <c r="H31" s="42"/>
      <c r="I31" s="42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2"/>
    </row>
    <row r="32" spans="1:20" x14ac:dyDescent="0.25">
      <c r="A32" s="11"/>
      <c r="B32" s="11"/>
      <c r="C32" s="11"/>
      <c r="D32" s="12" t="str">
        <f>IFERROR(VLOOKUP(#REF!,'Product Catalogue'!$A:$H,7,FALSE),"")</f>
        <v/>
      </c>
      <c r="E32" s="12" t="str">
        <f>IFERROR(VLOOKUP(#REF!,'Product Catalogue'!$A:$H,8,FALSE),"")</f>
        <v/>
      </c>
      <c r="F32" s="12" t="str">
        <f>IFERROR(#REF!*E32,"")</f>
        <v/>
      </c>
      <c r="G32" s="11"/>
      <c r="H32" s="42"/>
      <c r="I32" s="42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2"/>
    </row>
    <row r="33" spans="1:20" x14ac:dyDescent="0.25">
      <c r="A33" s="11"/>
      <c r="B33" s="11"/>
      <c r="C33" s="11"/>
      <c r="D33" s="12" t="str">
        <f>IFERROR(VLOOKUP(#REF!,'Product Catalogue'!$A:$H,7,FALSE),"")</f>
        <v/>
      </c>
      <c r="E33" s="12" t="str">
        <f>IFERROR(VLOOKUP(#REF!,'Product Catalogue'!$A:$H,8,FALSE),"")</f>
        <v/>
      </c>
      <c r="F33" s="12" t="str">
        <f>IFERROR(#REF!*E33,"")</f>
        <v/>
      </c>
      <c r="G33" s="11"/>
      <c r="H33" s="42"/>
      <c r="I33" s="42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2"/>
    </row>
    <row r="34" spans="1:20" x14ac:dyDescent="0.25">
      <c r="A34" s="11"/>
      <c r="B34" s="11"/>
      <c r="C34" s="11"/>
      <c r="D34" s="12" t="str">
        <f>IFERROR(VLOOKUP(#REF!,'Product Catalogue'!$A:$H,7,FALSE),"")</f>
        <v/>
      </c>
      <c r="E34" s="12" t="str">
        <f>IFERROR(VLOOKUP(#REF!,'Product Catalogue'!$A:$H,8,FALSE),"")</f>
        <v/>
      </c>
      <c r="F34" s="12" t="str">
        <f>IFERROR(#REF!*E34,"")</f>
        <v/>
      </c>
      <c r="G34" s="11"/>
      <c r="H34" s="42"/>
      <c r="I34" s="42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2"/>
    </row>
    <row r="35" spans="1:20" x14ac:dyDescent="0.25">
      <c r="A35" s="11"/>
      <c r="B35" s="11"/>
      <c r="C35" s="11"/>
      <c r="D35" s="12" t="str">
        <f>IFERROR(VLOOKUP(#REF!,'Product Catalogue'!$A:$H,7,FALSE),"")</f>
        <v/>
      </c>
      <c r="E35" s="12" t="str">
        <f>IFERROR(VLOOKUP(#REF!,'Product Catalogue'!$A:$H,8,FALSE),"")</f>
        <v/>
      </c>
      <c r="F35" s="12" t="str">
        <f>IFERROR(#REF!*E35,"")</f>
        <v/>
      </c>
      <c r="G35" s="11"/>
      <c r="H35" s="42"/>
      <c r="I35" s="42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2"/>
    </row>
    <row r="36" spans="1:20" x14ac:dyDescent="0.25">
      <c r="A36" s="11"/>
      <c r="B36" s="11"/>
      <c r="C36" s="11"/>
      <c r="D36" s="12" t="str">
        <f>IFERROR(VLOOKUP(#REF!,'Product Catalogue'!$A:$H,7,FALSE),"")</f>
        <v/>
      </c>
      <c r="E36" s="12" t="str">
        <f>IFERROR(VLOOKUP(#REF!,'Product Catalogue'!$A:$H,8,FALSE),"")</f>
        <v/>
      </c>
      <c r="F36" s="12" t="str">
        <f>IFERROR(#REF!*E36,"")</f>
        <v/>
      </c>
      <c r="G36" s="11"/>
      <c r="H36" s="42"/>
      <c r="I36" s="42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2"/>
    </row>
    <row r="37" spans="1:20" x14ac:dyDescent="0.25">
      <c r="A37" s="11"/>
      <c r="B37" s="11"/>
      <c r="C37" s="11"/>
      <c r="D37" s="12" t="str">
        <f>IFERROR(VLOOKUP(#REF!,'Product Catalogue'!$A:$H,7,FALSE),"")</f>
        <v/>
      </c>
      <c r="E37" s="12" t="str">
        <f>IFERROR(VLOOKUP(#REF!,'Product Catalogue'!$A:$H,8,FALSE),"")</f>
        <v/>
      </c>
      <c r="F37" s="12" t="str">
        <f>IFERROR(#REF!*E37,"")</f>
        <v/>
      </c>
      <c r="G37" s="11"/>
      <c r="H37" s="42"/>
      <c r="I37" s="42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2"/>
    </row>
    <row r="38" spans="1:20" x14ac:dyDescent="0.25">
      <c r="A38" s="11"/>
      <c r="B38" s="11"/>
      <c r="C38" s="11"/>
      <c r="D38" s="12" t="str">
        <f>IFERROR(VLOOKUP(#REF!,'Product Catalogue'!$A:$H,7,FALSE),"")</f>
        <v/>
      </c>
      <c r="E38" s="12" t="str">
        <f>IFERROR(VLOOKUP(#REF!,'Product Catalogue'!$A:$H,8,FALSE),"")</f>
        <v/>
      </c>
      <c r="F38" s="12" t="str">
        <f>IFERROR(#REF!*E38,"")</f>
        <v/>
      </c>
      <c r="G38" s="11"/>
      <c r="H38" s="42"/>
      <c r="I38" s="42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2"/>
    </row>
    <row r="39" spans="1:20" x14ac:dyDescent="0.25">
      <c r="A39" s="11"/>
      <c r="B39" s="11"/>
      <c r="C39" s="11"/>
      <c r="D39" s="12" t="str">
        <f>IFERROR(VLOOKUP(#REF!,'Product Catalogue'!$A:$H,7,FALSE),"")</f>
        <v/>
      </c>
      <c r="E39" s="12" t="str">
        <f>IFERROR(VLOOKUP(#REF!,'Product Catalogue'!$A:$H,8,FALSE),"")</f>
        <v/>
      </c>
      <c r="F39" s="12" t="str">
        <f>IFERROR(#REF!*E39,"")</f>
        <v/>
      </c>
      <c r="G39" s="11"/>
      <c r="H39" s="42"/>
      <c r="I39" s="42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2"/>
    </row>
    <row r="40" spans="1:20" x14ac:dyDescent="0.25">
      <c r="A40" s="11"/>
      <c r="B40" s="11"/>
      <c r="C40" s="11"/>
      <c r="D40" s="12" t="str">
        <f>IFERROR(VLOOKUP(#REF!,'Product Catalogue'!$A:$H,7,FALSE),"")</f>
        <v/>
      </c>
      <c r="E40" s="12" t="str">
        <f>IFERROR(VLOOKUP(#REF!,'Product Catalogue'!$A:$H,8,FALSE),"")</f>
        <v/>
      </c>
      <c r="F40" s="12" t="str">
        <f>IFERROR(#REF!*E40,"")</f>
        <v/>
      </c>
      <c r="G40" s="11"/>
      <c r="H40" s="42"/>
      <c r="I40" s="42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2"/>
    </row>
    <row r="41" spans="1:20" x14ac:dyDescent="0.25">
      <c r="A41" s="11"/>
      <c r="B41" s="11"/>
      <c r="C41" s="11"/>
      <c r="D41" s="12" t="str">
        <f>IFERROR(VLOOKUP(#REF!,'Product Catalogue'!$A:$H,7,FALSE),"")</f>
        <v/>
      </c>
      <c r="E41" s="12" t="str">
        <f>IFERROR(VLOOKUP(#REF!,'Product Catalogue'!$A:$H,8,FALSE),"")</f>
        <v/>
      </c>
      <c r="F41" s="12" t="str">
        <f>IFERROR(#REF!*E41,"")</f>
        <v/>
      </c>
      <c r="G41" s="11"/>
      <c r="H41" s="42"/>
      <c r="I41" s="42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2"/>
    </row>
    <row r="42" spans="1:20" x14ac:dyDescent="0.25">
      <c r="A42" s="11"/>
      <c r="B42" s="11"/>
      <c r="C42" s="11"/>
      <c r="D42" s="12" t="str">
        <f>IFERROR(VLOOKUP(#REF!,'Product Catalogue'!$A:$H,7,FALSE),"")</f>
        <v/>
      </c>
      <c r="E42" s="12" t="str">
        <f>IFERROR(VLOOKUP(#REF!,'Product Catalogue'!$A:$H,8,FALSE),"")</f>
        <v/>
      </c>
      <c r="F42" s="12" t="str">
        <f>IFERROR(#REF!*E42,"")</f>
        <v/>
      </c>
      <c r="G42" s="11"/>
      <c r="H42" s="42"/>
      <c r="I42" s="42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2"/>
    </row>
    <row r="43" spans="1:20" x14ac:dyDescent="0.25">
      <c r="A43" s="11"/>
      <c r="B43" s="11"/>
      <c r="C43" s="11"/>
      <c r="D43" s="12" t="str">
        <f>IFERROR(VLOOKUP(#REF!,'Product Catalogue'!$A:$H,7,FALSE),"")</f>
        <v/>
      </c>
      <c r="E43" s="12" t="str">
        <f>IFERROR(VLOOKUP(#REF!,'Product Catalogue'!$A:$H,8,FALSE),"")</f>
        <v/>
      </c>
      <c r="F43" s="12" t="str">
        <f>IFERROR(#REF!*E43,"")</f>
        <v/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2"/>
    </row>
    <row r="44" spans="1:20" x14ac:dyDescent="0.25">
      <c r="A44" s="11"/>
      <c r="B44" s="11"/>
      <c r="C44" s="11"/>
      <c r="D44" s="12" t="str">
        <f>IFERROR(VLOOKUP(#REF!,'Product Catalogue'!$A:$H,7,FALSE),"")</f>
        <v/>
      </c>
      <c r="E44" s="12" t="str">
        <f>IFERROR(VLOOKUP(#REF!,'Product Catalogue'!$A:$H,8,FALSE),"")</f>
        <v/>
      </c>
      <c r="F44" s="12" t="str">
        <f>IFERROR(#REF!*E44,"")</f>
        <v/>
      </c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2"/>
    </row>
    <row r="45" spans="1:20" x14ac:dyDescent="0.25">
      <c r="A45" s="12"/>
      <c r="B45" s="12"/>
      <c r="C45" s="12"/>
      <c r="D45" s="12"/>
      <c r="E45" s="12"/>
      <c r="F45" s="12"/>
      <c r="G45" s="12"/>
      <c r="J45" s="12"/>
      <c r="K45" s="40"/>
      <c r="L45" s="40"/>
      <c r="M45" s="12"/>
    </row>
    <row r="46" spans="1:20" x14ac:dyDescent="0.25">
      <c r="J46" s="12"/>
      <c r="K46" s="40"/>
      <c r="L46" s="40"/>
      <c r="M46" s="12"/>
    </row>
    <row r="47" spans="1:20" x14ac:dyDescent="0.25">
      <c r="J47" s="12"/>
      <c r="K47" s="40"/>
      <c r="L47" s="40"/>
      <c r="M47" s="12"/>
    </row>
    <row r="48" spans="1:20" x14ac:dyDescent="0.25">
      <c r="J48" s="12"/>
      <c r="K48" s="40"/>
      <c r="L48" s="40"/>
      <c r="M48" s="12"/>
    </row>
  </sheetData>
  <mergeCells count="9">
    <mergeCell ref="H34:I42"/>
    <mergeCell ref="B9:C9"/>
    <mergeCell ref="B10:C10"/>
    <mergeCell ref="B11:C11"/>
    <mergeCell ref="B3:C3"/>
    <mergeCell ref="B4:C4"/>
    <mergeCell ref="B7:C7"/>
    <mergeCell ref="B8:C8"/>
    <mergeCell ref="H25:I33"/>
  </mergeCells>
  <conditionalFormatting sqref="B4:C4">
    <cfRule type="expression" dxfId="8" priority="5">
      <formula>$B$4&lt;&gt;""</formula>
    </cfRule>
    <cfRule type="expression" dxfId="7" priority="9">
      <formula>$B$4=""</formula>
    </cfRule>
  </conditionalFormatting>
  <conditionalFormatting sqref="C6">
    <cfRule type="expression" dxfId="6" priority="3">
      <formula>$C$6&lt;&gt;""</formula>
    </cfRule>
    <cfRule type="expression" dxfId="5" priority="8">
      <formula>$C$6=""</formula>
    </cfRule>
  </conditionalFormatting>
  <conditionalFormatting sqref="B6">
    <cfRule type="expression" dxfId="4" priority="4">
      <formula>$B$6&lt;&gt;""</formula>
    </cfRule>
    <cfRule type="expression" dxfId="3" priority="7">
      <formula>$B$6=""</formula>
    </cfRule>
  </conditionalFormatting>
  <conditionalFormatting sqref="C12">
    <cfRule type="expression" dxfId="2" priority="2">
      <formula>$C$12&lt;&gt;""</formula>
    </cfRule>
    <cfRule type="expression" dxfId="1" priority="6">
      <formula>$C$12=""</formula>
    </cfRule>
  </conditionalFormatting>
  <conditionalFormatting sqref="I4:I23">
    <cfRule type="expression" dxfId="0" priority="1">
      <formula>AND(H4&lt;&gt;"",I4="")</formula>
    </cfRule>
  </conditionalFormatting>
  <dataValidations count="1">
    <dataValidation type="list" allowBlank="1" showInputMessage="1" showErrorMessage="1" sqref="N6" xr:uid="{00000000-0002-0000-0400-000000000000}">
      <formula1>ProductSearch</formula1>
    </dataValidation>
  </dataValidations>
  <printOptions horizontalCentered="1" verticalCentered="1"/>
  <pageMargins left="0.7" right="0.7" top="0.75" bottom="0.75" header="0.3" footer="0.3"/>
  <pageSetup scale="80" fitToWidth="0" fitToHeight="0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5123" r:id="rId5" name="CommandButton3">
          <controlPr defaultSize="0" autoLine="0" r:id="rId6">
            <anchor moveWithCells="1">
              <from>
                <xdr:col>1</xdr:col>
                <xdr:colOff>47625</xdr:colOff>
                <xdr:row>16</xdr:row>
                <xdr:rowOff>95250</xdr:rowOff>
              </from>
              <to>
                <xdr:col>2</xdr:col>
                <xdr:colOff>114300</xdr:colOff>
                <xdr:row>18</xdr:row>
                <xdr:rowOff>95250</xdr:rowOff>
              </to>
            </anchor>
          </controlPr>
        </control>
      </mc:Choice>
      <mc:Fallback>
        <control shapeId="5123" r:id="rId5" name="CommandButton3"/>
      </mc:Fallback>
    </mc:AlternateContent>
    <mc:AlternateContent xmlns:mc="http://schemas.openxmlformats.org/markup-compatibility/2006">
      <mc:Choice Requires="x14">
        <control shapeId="5122" r:id="rId7" name="CommandButton2">
          <controlPr defaultSize="0" autoLine="0" r:id="rId8">
            <anchor moveWithCells="1">
              <from>
                <xdr:col>1</xdr:col>
                <xdr:colOff>0</xdr:colOff>
                <xdr:row>22</xdr:row>
                <xdr:rowOff>152400</xdr:rowOff>
              </from>
              <to>
                <xdr:col>2</xdr:col>
                <xdr:colOff>66675</xdr:colOff>
                <xdr:row>24</xdr:row>
                <xdr:rowOff>152400</xdr:rowOff>
              </to>
            </anchor>
          </controlPr>
        </control>
      </mc:Choice>
      <mc:Fallback>
        <control shapeId="5122" r:id="rId7" name="CommandButton2"/>
      </mc:Fallback>
    </mc:AlternateContent>
    <mc:AlternateContent xmlns:mc="http://schemas.openxmlformats.org/markup-compatibility/2006">
      <mc:Choice Requires="x14">
        <control shapeId="5121" r:id="rId9" name="CommandButton1">
          <controlPr defaultSize="0" autoLine="0" r:id="rId10">
            <anchor moveWithCells="1">
              <from>
                <xdr:col>1</xdr:col>
                <xdr:colOff>47625</xdr:colOff>
                <xdr:row>13</xdr:row>
                <xdr:rowOff>114300</xdr:rowOff>
              </from>
              <to>
                <xdr:col>2</xdr:col>
                <xdr:colOff>781050</xdr:colOff>
                <xdr:row>15</xdr:row>
                <xdr:rowOff>171450</xdr:rowOff>
              </to>
            </anchor>
          </controlPr>
        </control>
      </mc:Choice>
      <mc:Fallback>
        <control shapeId="5121" r:id="rId9" name="CommandButton1"/>
      </mc:Fallback>
    </mc:AlternateContent>
    <mc:AlternateContent xmlns:mc="http://schemas.openxmlformats.org/markup-compatibility/2006">
      <mc:Choice Requires="x14">
        <control shapeId="5124" r:id="rId11" name="CommandButton4">
          <controlPr defaultSize="0" autoLine="0" autoPict="0" r:id="rId12">
            <anchor moveWithCells="1">
              <from>
                <xdr:col>1</xdr:col>
                <xdr:colOff>9525</xdr:colOff>
                <xdr:row>19</xdr:row>
                <xdr:rowOff>76200</xdr:rowOff>
              </from>
              <to>
                <xdr:col>2</xdr:col>
                <xdr:colOff>76200</xdr:colOff>
                <xdr:row>21</xdr:row>
                <xdr:rowOff>133350</xdr:rowOff>
              </to>
            </anchor>
          </controlPr>
        </control>
      </mc:Choice>
      <mc:Fallback>
        <control shapeId="5124" r:id="rId11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Product Catalogue</vt:lpstr>
      <vt:lpstr>Tables</vt:lpstr>
      <vt:lpstr>Search Result</vt:lpstr>
      <vt:lpstr>Menu Costing</vt:lpstr>
      <vt:lpstr>CATEGORY</vt:lpstr>
      <vt:lpstr>SUPPLIER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Sato, Misako</dc:creator>
  <cp:lastModifiedBy>Misako</cp:lastModifiedBy>
  <cp:lastPrinted>2021-03-08T01:27:00Z</cp:lastPrinted>
  <dcterms:created xsi:type="dcterms:W3CDTF">2006-09-16T00:00:00Z</dcterms:created>
  <dcterms:modified xsi:type="dcterms:W3CDTF">2021-03-12T14:44:24Z</dcterms:modified>
</cp:coreProperties>
</file>